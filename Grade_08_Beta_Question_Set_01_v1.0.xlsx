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 Bank" sheetId="1" r:id="rId5"/>
    <sheet state="visible" name="Legacy_Backup" sheetId="2" r:id="rId6"/>
  </sheets>
  <definedNames>
    <definedName hidden="1" localSheetId="0" name="_xlnm._FilterDatabase">'Question Bank'!$A$1:$AH$51</definedName>
  </definedNames>
  <calcPr/>
</workbook>
</file>

<file path=xl/sharedStrings.xml><?xml version="1.0" encoding="utf-8"?>
<sst xmlns="http://schemas.openxmlformats.org/spreadsheetml/2006/main" count="1625" uniqueCount="799">
  <si>
    <t>Question ID</t>
  </si>
  <si>
    <t>Grade</t>
  </si>
  <si>
    <t>Part No.</t>
  </si>
  <si>
    <t>Part</t>
  </si>
  <si>
    <t>Part ID</t>
  </si>
  <si>
    <t>Section No.</t>
  </si>
  <si>
    <t>Section</t>
  </si>
  <si>
    <t>Section ID</t>
  </si>
  <si>
    <t>Topic ID</t>
  </si>
  <si>
    <t>Topic</t>
  </si>
  <si>
    <t>Question Sequence No.</t>
  </si>
  <si>
    <t>Learning Objective</t>
  </si>
  <si>
    <t>Question Type</t>
  </si>
  <si>
    <t>Question Category</t>
  </si>
  <si>
    <t>Difficulty</t>
  </si>
  <si>
    <t>Question Format</t>
  </si>
  <si>
    <t>Visual Required</t>
  </si>
  <si>
    <t>Image Description</t>
  </si>
  <si>
    <t>Canva Prompt</t>
  </si>
  <si>
    <t>Bloom's Level</t>
  </si>
  <si>
    <t>Question</t>
  </si>
  <si>
    <t>Option A</t>
  </si>
  <si>
    <t>Option B</t>
  </si>
  <si>
    <t>Option C</t>
  </si>
  <si>
    <t>Option D</t>
  </si>
  <si>
    <t>Correct Option</t>
  </si>
  <si>
    <t>Part Code</t>
  </si>
  <si>
    <t>Explanation</t>
  </si>
  <si>
    <t>Part Name</t>
  </si>
  <si>
    <t>Future Ready Insight</t>
  </si>
  <si>
    <t>Competency Assessed</t>
  </si>
  <si>
    <t>Section Code</t>
  </si>
  <si>
    <t>Image File</t>
  </si>
  <si>
    <t>Section Name</t>
  </si>
  <si>
    <t>Reviewer Comments</t>
  </si>
  <si>
    <t>Reviewer Name</t>
  </si>
  <si>
    <t>Review Date</t>
  </si>
  <si>
    <t>Version</t>
  </si>
  <si>
    <t>08_EM_OS_001</t>
  </si>
  <si>
    <t>Bloom Level</t>
  </si>
  <si>
    <t>Entrepreneurship Mindset</t>
  </si>
  <si>
    <t>EM</t>
  </si>
  <si>
    <t>Opportunity Spotting</t>
  </si>
  <si>
    <t>OS</t>
  </si>
  <si>
    <t>OS-T01</t>
  </si>
  <si>
    <t>Correct Answer</t>
  </si>
  <si>
    <t>Image Filename</t>
  </si>
  <si>
    <t>Image Link</t>
  </si>
  <si>
    <t>EM-OS-08-001</t>
  </si>
  <si>
    <t>Identify useful opportunities from everyday problems</t>
  </si>
  <si>
    <t>Situational MCQ</t>
  </si>
  <si>
    <t>Application-Based</t>
  </si>
  <si>
    <t>Easy</t>
  </si>
  <si>
    <t>Apply</t>
  </si>
  <si>
    <t>Entrepreneurship</t>
  </si>
  <si>
    <t>MCQ - Single Correct</t>
  </si>
  <si>
    <t>No</t>
  </si>
  <si>
    <t>A school canteen has long queues and students often miss part of lunch. Which idea best turns this problem into an opportunity?</t>
  </si>
  <si>
    <t>Start a pre-order system for students</t>
  </si>
  <si>
    <t>Sell more items only after lunch</t>
  </si>
  <si>
    <t>Ask students to bring food every day</t>
  </si>
  <si>
    <t>Close one counter to reduce confusion</t>
  </si>
  <si>
    <t>A</t>
  </si>
  <si>
    <t>Start a pre-order system with fixed pickup slots is the best choice because it directly applies opportunity spotting to the situation and addresses the stated need with a practical, responsible action.</t>
  </si>
  <si>
    <t>Builds practical entrepreneurship for future study, work and responsible citizenship.</t>
  </si>
  <si>
    <t>1.0</t>
  </si>
  <si>
    <t>EM-CU-08-002</t>
  </si>
  <si>
    <t>CU</t>
  </si>
  <si>
    <t>Customer Understanding</t>
  </si>
  <si>
    <t>Use customer feedback before designing a solution</t>
  </si>
  <si>
    <t>Case-Based Question</t>
  </si>
  <si>
    <t>Analyze</t>
  </si>
  <si>
    <t>Riya wants to sell reusable water bottles at school. What should she do first?</t>
  </si>
  <si>
    <t>Order 200 bottles in her favourite colour</t>
  </si>
  <si>
    <t>Ask students about their preferences /liking</t>
  </si>
  <si>
    <t>Copy the most expensive bottle online</t>
  </si>
  <si>
    <t>Print posters before deciding the product</t>
  </si>
  <si>
    <t>B</t>
  </si>
  <si>
    <t>Ask students about size, price and features they prefer is the best choice because it directly applies customer understanding to the situation and addresses the stated need with a practical, responsible action.</t>
  </si>
  <si>
    <t>EM-PAR-08-003</t>
  </si>
  <si>
    <t>PAR</t>
  </si>
  <si>
    <t>Planning and Resource Use</t>
  </si>
  <si>
    <t>Select a plan that uses limited resources wisely</t>
  </si>
  <si>
    <t>Data Interpretation</t>
  </si>
  <si>
    <t>Yes</t>
  </si>
  <si>
    <t>Four teams need the art room. Refer to the chart showing booking data. Which day gives a new team the best chance to work without delay?</t>
  </si>
  <si>
    <t>Monday</t>
  </si>
  <si>
    <t>Tuesday</t>
  </si>
  <si>
    <t>08_EM_CE_002</t>
  </si>
  <si>
    <t>Wednesday</t>
  </si>
  <si>
    <t>Thursday</t>
  </si>
  <si>
    <t>C</t>
  </si>
  <si>
    <t>Customer Understanding and Empathy</t>
  </si>
  <si>
    <t>Wednesday is the best choice because it directly applies planning and resource use to the situation and addresses the stated need with a practical, responsible action.</t>
  </si>
  <si>
    <t>CE</t>
  </si>
  <si>
    <t>CE-T01</t>
  </si>
  <si>
    <t>A clean Grade 8 educational table or chart illustrating: Four teams need the art room. The booking chart shows: Monday 2 teams, Tuesday 1, Wednesday 0, Thursday 3. Which day gives a new team the best chance to work without delay?</t>
  </si>
  <si>
    <t>Create a clear, age-appropriate educational visual for Grade 8. Show only the information needed for this MCQ: Four teams need the art room. The booking chart shows: Monday 2 teams, Tuesday 1, Wednesday 0, Thursday 3. Which day gives a new team the best chance to work without delay? Use a light background, simple labels, high contrast, no answer clues, landscape 4:3.</t>
  </si>
  <si>
    <t>EM_PAR_08_003.png</t>
  </si>
  <si>
    <t>EM-VP-08-004</t>
  </si>
  <si>
    <t>VP</t>
  </si>
  <si>
    <t>Value Proposition</t>
  </si>
  <si>
    <t>Connect a product benefit to a customer need</t>
  </si>
  <si>
    <t>Visual Question</t>
  </si>
  <si>
    <t>An image shows two lunch boxes: Box P &amp;  Box Q . Which is the stronger value proposition for students to use?</t>
  </si>
  <si>
    <t>Box P, because style is always most important</t>
  </si>
  <si>
    <t>Box P, because cleaning does not matter</t>
  </si>
  <si>
    <t>Both are equal because they hold food</t>
  </si>
  <si>
    <t>Box Q, because it solves practical daily problems of leakage</t>
  </si>
  <si>
    <t>D</t>
  </si>
  <si>
    <t>Box Q, because it solves practical daily problems</t>
  </si>
  <si>
    <t>Box Q, because it solves practical daily problems is the best choice because it directly applies value proposition to the situation and addresses the stated need with a practical, responsible action.</t>
  </si>
  <si>
    <t>A clean Grade 8 educational real-life scene illustrating: An image shows two lunch boxes: Box P is stylish but leaks; Box Q is simple, leak-proof and easy to clean. Which is the stronger value proposition for students?</t>
  </si>
  <si>
    <t>Create a clear, age-appropriate educational visual for Grade 8. Show only the information needed for this MCQ: An image shows two lunch boxes: Box P is stylish but leaks; Box Q is simple, leak-proof and easy to clean. Which is the stronger value proposition for students? Use a light background, simple labels, high contrast, no answer clues, landscape 4:3.</t>
  </si>
  <si>
    <t>EM_VP_08_004.png</t>
  </si>
  <si>
    <t>EM-RAD-08-005</t>
  </si>
  <si>
    <t>RAD</t>
  </si>
  <si>
    <t>Risk and Decision Making</t>
  </si>
  <si>
    <t>Reduce risk through a small test</t>
  </si>
  <si>
    <t>Problem Solving Challenge</t>
  </si>
  <si>
    <t>Evaluate</t>
  </si>
  <si>
    <t>A team can spend its full budget making 100 keychains or first make 10 samples. What is the wiser approach?</t>
  </si>
  <si>
    <t>Make 10, collect feedback, then decide</t>
  </si>
  <si>
    <t>Make 100 immediately to save time</t>
  </si>
  <si>
    <t>Buy a machine before testing demand</t>
  </si>
  <si>
    <t>Avoid making anything until everyone agrees</t>
  </si>
  <si>
    <t>Make 10, collect feedback, then decide is the best choice because it directly applies risk and decision making to the situation and addresses the stated need with a practical, responsible action.</t>
  </si>
  <si>
    <t>EM-PI-08-006</t>
  </si>
  <si>
    <t>PI</t>
  </si>
  <si>
    <t>Product Innovation</t>
  </si>
  <si>
    <t>Improve an existing solution for user benefit</t>
  </si>
  <si>
    <t>Innovation Scenario</t>
  </si>
  <si>
    <t>Create</t>
  </si>
  <si>
    <t>Students regularly forget to water classroom plants. Which idea is both innovative and practical?</t>
  </si>
  <si>
    <t>A poster saying plants need water</t>
  </si>
  <si>
    <t>A low-cost moisture (dryness) indicator for soil</t>
  </si>
  <si>
    <t>Replacing plants with plastic ones</t>
  </si>
  <si>
    <t>Asking one student to remember forever</t>
  </si>
  <si>
    <t>A low-cost moisture indicator that changes colour when soil is dry is the best choice because it directly applies product innovation to the situation and addresses the stated need with a practical, responsible action.</t>
  </si>
  <si>
    <t>EM-EAF-08-007</t>
  </si>
  <si>
    <t>EAF</t>
  </si>
  <si>
    <t>Ethics and Fairness</t>
  </si>
  <si>
    <t>Choose honest business behaviour</t>
  </si>
  <si>
    <t>A seller notices that one batch of notebooks has weak binding. What should the seller do?</t>
  </si>
  <si>
    <t>08_EM_PR_003</t>
  </si>
  <si>
    <t>Hide the problem with new covers</t>
  </si>
  <si>
    <t>Sell them quickly to younger students</t>
  </si>
  <si>
    <t>PR</t>
  </si>
  <si>
    <t>Tell buyers and replace the faulty notebooks</t>
  </si>
  <si>
    <t>PR-T01</t>
  </si>
  <si>
    <t>Increase the price to appear premium</t>
  </si>
  <si>
    <t>Tell buyers and replace or discount the faulty notebooks is the best choice because it directly applies ethics and fairness to the situation and addresses the stated need with a practical, responsible action.</t>
  </si>
  <si>
    <t>EM-PAP-08-008</t>
  </si>
  <si>
    <t>PAP</t>
  </si>
  <si>
    <t>Pricing and Profit</t>
  </si>
  <si>
    <t>Choose a price using cost and customer value</t>
  </si>
  <si>
    <t>A bookmark costs ₹12 to make. Students say they would comfortably pay ₹20. Which price is most reasonable for a small profit?</t>
  </si>
  <si>
    <t>₹8</t>
  </si>
  <si>
    <t>₹12</t>
  </si>
  <si>
    <t>₹40</t>
  </si>
  <si>
    <t>₹18</t>
  </si>
  <si>
    <t>₹18 is the best choice because it directly applies pricing and profit to the situation and addresses the stated need with a practical, responsible action.</t>
  </si>
  <si>
    <t>EM-TAC-08-009</t>
  </si>
  <si>
    <t>TAC</t>
  </si>
  <si>
    <t>Teamwork and Communication</t>
  </si>
  <si>
    <t>Assign work according to team strengths</t>
  </si>
  <si>
    <t>The team chart shows: Aman—drawing, Beena—speaking, Charu—calculations, Dev—organising. Who should present the final pitch?</t>
  </si>
  <si>
    <t>Beena</t>
  </si>
  <si>
    <t>Aman</t>
  </si>
  <si>
    <t>Charu</t>
  </si>
  <si>
    <t>Dev</t>
  </si>
  <si>
    <t>Beena is the best choice because it directly applies teamwork and communication to the situation and addresses the stated need with a practical, responsible action.</t>
  </si>
  <si>
    <t>A clean Grade 8 educational table or chart illustrating: The team chart shows: Aman—drawing, Beena—speaking, Charu—calculations, Dev—organising. Who should present the final pitch?</t>
  </si>
  <si>
    <t>Create a clear, age-appropriate educational visual for Grade 8. Show only the information needed for this MCQ: The team chart shows: Aman—drawing, Beena—speaking, Charu—calculations, Dev—organising. Who should present the final pitch? Use a light background, simple labels, high contrast, no answer clues, landscape 4:3.</t>
  </si>
  <si>
    <t>EM_TAC_08_009.png</t>
  </si>
  <si>
    <t>EM-OAI-08-010</t>
  </si>
  <si>
    <t>OAI</t>
  </si>
  <si>
    <t>Ownership and Initiative</t>
  </si>
  <si>
    <t>Demonstrate initiative when a plan faces a barrier</t>
  </si>
  <si>
    <t>A venue cancels one day before a student sale. What should the team leader do first?</t>
  </si>
  <si>
    <t>Wait for someone else to solve it</t>
  </si>
  <si>
    <t xml:space="preserve">Quickly identify another safe venue </t>
  </si>
  <si>
    <t>Cancel without telling customers</t>
  </si>
  <si>
    <t>Blame the venue online</t>
  </si>
  <si>
    <t>Quickly identify another safe venue and inform everyone</t>
  </si>
  <si>
    <t>Quickly identify another safe venue and inform everyone is the best choice because it directly applies ownership and initiative to the situation and addresses the stated need with a practical, responsible action.</t>
  </si>
  <si>
    <t>A clean Grade 8 educational real-life scene illustrating: A venue cancels one day before a student sale. What should the team leader do first?</t>
  </si>
  <si>
    <t>Create a clear, age-appropriate educational visual for Grade 8. Show only the information needed for this MCQ: A venue cancels one day before a student sale. What should the team leader do first? Use a light background, simple labels, high contrast, no answer clues, landscape 4:3.</t>
  </si>
  <si>
    <t>EM_OAI_08_010.png</t>
  </si>
  <si>
    <t>EM-CU-08-011</t>
  </si>
  <si>
    <t>Improve a product using evidence</t>
  </si>
  <si>
    <t>After testing a pencil grip, 8 of 10 students say it slips. What is the best next step?</t>
  </si>
  <si>
    <t>Ignore them because two students liked it</t>
  </si>
  <si>
    <t>Produce 500 grips immediately</t>
  </si>
  <si>
    <t>Change the material and test the new version</t>
  </si>
  <si>
    <t>Change only the logo</t>
  </si>
  <si>
    <t>08_EM_CE_004</t>
  </si>
  <si>
    <t>Change the material and test the new version is the best choice because it directly applies customer understanding to the situation and addresses the stated need with a practical, responsible action.</t>
  </si>
  <si>
    <t>CE-T02</t>
  </si>
  <si>
    <t>EM-CE-006</t>
  </si>
  <si>
    <t>8</t>
  </si>
  <si>
    <t>Visual – shopkeeper talking</t>
  </si>
  <si>
    <t>Identify customer understanding from a visual scene.</t>
  </si>
  <si>
    <t>Think</t>
  </si>
  <si>
    <t>Situation</t>
  </si>
  <si>
    <t>Medium</t>
  </si>
  <si>
    <t>Observing customer interaction.</t>
  </si>
  <si>
    <t>Visual</t>
  </si>
  <si>
    <t>A shopkeeper listens to a customer and writes notes. What is this most likely showing?</t>
  </si>
  <si>
    <t>Understanding customer needs</t>
  </si>
  <si>
    <t>Preparing to-do task list for customer</t>
  </si>
  <si>
    <t>Preparing to close the shop forever</t>
  </si>
  <si>
    <t>Counting old stock without any reason</t>
  </si>
  <si>
    <t>Listening and noting details suggests the shopkeeper is learning about customer needs.</t>
  </si>
  <si>
    <t>Normalises feedback collection as part of everyday business.</t>
  </si>
  <si>
    <t>Shopkeeper speaking with a customer and noting something on a pad.</t>
  </si>
  <si>
    <t>Draw a small shop with a shopkeeper listening to a customer, writing notes on a notepad. Show them facing each other.</t>
  </si>
  <si>
    <t>EM_CE_Q6_shop_listen.png</t>
  </si>
  <si>
    <t>v1.0</t>
  </si>
  <si>
    <t>https://drive.google.com/file/d/1ay_yDgfZRPR5cQjF-2mImgVJ6XPMn-jE/view?usp=drive_link</t>
  </si>
  <si>
    <t>EM-EF-008</t>
  </si>
  <si>
    <t>EF</t>
  </si>
  <si>
    <t>Ethics, Integrity and Fairness</t>
  </si>
  <si>
    <t>Visual – two students sharing</t>
  </si>
  <si>
    <t>Identify fairness in a simple sharing situation.</t>
  </si>
  <si>
    <t>Know</t>
  </si>
  <si>
    <t>08_EM_RD_005</t>
  </si>
  <si>
    <t>Everyday fairness.</t>
  </si>
  <si>
    <t>Risk-Taking and Decision Making</t>
  </si>
  <si>
    <t>RD</t>
  </si>
  <si>
    <t>RD-T01</t>
  </si>
  <si>
    <t>Look at the image shpwing two friends What does this show?</t>
  </si>
  <si>
    <t>Fair sharing between friends</t>
  </si>
  <si>
    <t>Debating on the choice of snack</t>
  </si>
  <si>
    <t>Fighting over marks</t>
  </si>
  <si>
    <t>Ignoring each other completely</t>
  </si>
  <si>
    <t>Equal division of a snack reflects fairness and consideration.</t>
  </si>
  <si>
    <t>Connects everyday fairness with ethical thinking in business.</t>
  </si>
  <si>
    <t>Two students sharing equal parts of a snack.</t>
  </si>
  <si>
    <t>Draw two students splitting a snack into equal parts and smiling.</t>
  </si>
  <si>
    <t>EM_EF_Q8_share_snack.png</t>
  </si>
  <si>
    <t>https://drive.google.com/file/d/15BvoleShZfFtxLdz7GQHinhqrVvNeBFR/view?usp=drive_link</t>
  </si>
  <si>
    <t>PSI-RCA-08-001</t>
  </si>
  <si>
    <t>PSI</t>
  </si>
  <si>
    <t>Problem Solving &amp; Innovation</t>
  </si>
  <si>
    <t>RCA</t>
  </si>
  <si>
    <t>Root Cause Analysis</t>
  </si>
  <si>
    <t>Identify causes before selecting solutions</t>
  </si>
  <si>
    <t>Problem Solving</t>
  </si>
  <si>
    <t>The school bus is late on four days. What should students do first?</t>
  </si>
  <si>
    <t>Meet the administration &amp; request a new bus immediately</t>
  </si>
  <si>
    <t>Record departure times, routes and delay reasons</t>
  </si>
  <si>
    <t>Assume the driver is careless and seek change</t>
  </si>
  <si>
    <t>Cancel the bus service for students</t>
  </si>
  <si>
    <t>Record departure times, routes and delay reasons is the best choice because it directly applies root cause analysis to the situation and addresses the stated need with a practical, responsible action.</t>
  </si>
  <si>
    <t>Builds practical problem solving for future study, work and responsible citizenship.</t>
  </si>
  <si>
    <t>PSI-P-08-002</t>
  </si>
  <si>
    <t>P</t>
  </si>
  <si>
    <t>Prioritisation</t>
  </si>
  <si>
    <t>Prioritise a safety-critical issue</t>
  </si>
  <si>
    <t>A team lists four issues: faded poster, loose electric wire, slow Wi-Fi and untidy shelf. Which should be solved first?</t>
  </si>
  <si>
    <t>Faded poster</t>
  </si>
  <si>
    <t>08_EM_OS_006</t>
  </si>
  <si>
    <t>Slow Wi-Fi</t>
  </si>
  <si>
    <t>Loose electric wire</t>
  </si>
  <si>
    <t>Untidy shelf</t>
  </si>
  <si>
    <t>OS-T02</t>
  </si>
  <si>
    <t>Loose electric wire is the best choice because it directly applies prioritisation to the situation and addresses the stated need with a practical, responsible action.</t>
  </si>
  <si>
    <t>A clean Grade 8 educational table or chart illustrating: A team lists four issues: faded poster, loose electric wire, slow Wi-Fi and untidy shelf. Which should be solved first?</t>
  </si>
  <si>
    <t>Create a clear, age-appropriate educational visual for Grade 8. Show only the information needed for this MCQ: A team lists four issues: faded poster, loose electric wire, slow Wi-Fi and untidy shelf. Which should be solved first? Use a light background, simple labels, high contrast, no answer clues, landscape 4:3.</t>
  </si>
  <si>
    <t>PSI_P_08_002.png</t>
  </si>
  <si>
    <t>PSI-DPS-08-003</t>
  </si>
  <si>
    <t>DPS</t>
  </si>
  <si>
    <t>Data-based Problem Solving</t>
  </si>
  <si>
    <t>Use data to identify a pattern</t>
  </si>
  <si>
    <t>A table shows library crowding on weekdays. Which day is best suited for an extra librarian?</t>
  </si>
  <si>
    <t>Wednesday is the best choice because it directly applies data-based problem solving to the situation and addresses the stated need with a practical, responsible action.</t>
  </si>
  <si>
    <t>A clean Grade 8 educational real-life scene illustrating: A table shows library crowding: Monday 20, Tuesday 22, Wednesday 45, Thursday 21 students. Which day should get an extra librarian?</t>
  </si>
  <si>
    <t>Create a clear, age-appropriate educational visual for Grade 8. Show only the information needed for this MCQ: A table shows library crowding: Monday 20, Tuesday 22, Wednesday 45, Thursday 21 students. Which day should get an extra librarian? Use a light background, simple labels, high contrast, no answer clues, landscape 4:3.</t>
  </si>
  <si>
    <t>PSI_DPS_08_003.png</t>
  </si>
  <si>
    <t>PSI-DT-08-004</t>
  </si>
  <si>
    <t>DT</t>
  </si>
  <si>
    <t>Design Thinking</t>
  </si>
  <si>
    <t>Select a user-centred design improvement</t>
  </si>
  <si>
    <t>A classroom dustbin has waste scattered around it, quite often. Which redesign best addresses the observed problem?</t>
  </si>
  <si>
    <t>A wider opening with clear labels</t>
  </si>
  <si>
    <t>A taller decorative flag</t>
  </si>
  <si>
    <t>A darker colour only</t>
  </si>
  <si>
    <t>A locked lid with a key</t>
  </si>
  <si>
    <t>A wider opening with clear labels is the best choice because it directly applies design thinking to the situation and addresses the stated need with a practical, responsible action.</t>
  </si>
  <si>
    <t>PSI-RA-08-005</t>
  </si>
  <si>
    <t>08_EM_EF_007</t>
  </si>
  <si>
    <t>RA</t>
  </si>
  <si>
    <t>Resource Allocation</t>
  </si>
  <si>
    <t>Ethics, Integrity, and Fairness</t>
  </si>
  <si>
    <t>EF-T01</t>
  </si>
  <si>
    <t>Use limited resources for maximum impact</t>
  </si>
  <si>
    <t>A team has ₹500 to reduce water waste. A tap washer costs ₹50 and fixes one leaking tap; a poster costs ₹100. Five taps leak. What should the team prioritise?</t>
  </si>
  <si>
    <t>Five posters</t>
  </si>
  <si>
    <t>Repair the five leaking taps</t>
  </si>
  <si>
    <t>One poster and no repairs</t>
  </si>
  <si>
    <t>Save all the money without acting</t>
  </si>
  <si>
    <t>Repair the five leaking taps is the best choice because it directly applies resource allocation to the situation and addresses the stated need with a practical, responsible action.</t>
  </si>
  <si>
    <t>PSI-IAA-08-006</t>
  </si>
  <si>
    <t>IAA</t>
  </si>
  <si>
    <t>Innovation and Adaptability</t>
  </si>
  <si>
    <t>Adapt a solution after testing</t>
  </si>
  <si>
    <t>A cardboard phone stand bends during testing. Which change is most likely to improve it?</t>
  </si>
  <si>
    <t>Add more decoration</t>
  </si>
  <si>
    <t>Use thinner cardboard</t>
  </si>
  <si>
    <t>Add folded triangular supports</t>
  </si>
  <si>
    <t>Make the phone heavier</t>
  </si>
  <si>
    <t>Add folded triangular supports is the best choice because it directly applies innovation and adaptability to the situation and addresses the stated need with a practical, responsible action.</t>
  </si>
  <si>
    <t>PSI-DI-007</t>
  </si>
  <si>
    <t>DI</t>
  </si>
  <si>
    <t>Data-based Innovation</t>
  </si>
  <si>
    <t>Visual – bar chart of app usage</t>
  </si>
  <si>
    <t>Read a simple bar chart.</t>
  </si>
  <si>
    <t>Interpreting visual data.</t>
  </si>
  <si>
    <t>A bar chart shows a gaming app usage over a week. What does this suggest?</t>
  </si>
  <si>
    <t>More students use the app toward the end of the week</t>
  </si>
  <si>
    <t>Students never use the app on week ends</t>
  </si>
  <si>
    <t>The app only works on Friday</t>
  </si>
  <si>
    <t>The chart has no meaning as night data is  not mentioned</t>
  </si>
  <si>
    <t>The tallest bar shows the highest usage level.</t>
  </si>
  <si>
    <t>Helps students understand how charts support decisions.</t>
  </si>
  <si>
    <t>Bar chart showing app usage increasing from Monday to Friday.</t>
  </si>
  <si>
    <t>Create a bar chart with days Monday to Friday and usage values rising across the week.</t>
  </si>
  <si>
    <t>PSI_DI_Q7_bar_chart_usage.png</t>
  </si>
  <si>
    <t>https://drive.google.com/file/d/1KY2pKd7sAoPVxCng0gRf9wSMTWcsXvHY/view?usp=drive_link</t>
  </si>
  <si>
    <t>08_EM_BA_008</t>
  </si>
  <si>
    <t>PSI-PR-08-008</t>
  </si>
  <si>
    <t>Business Acumen – Profit, Loss &amp; Pricing</t>
  </si>
  <si>
    <t>BA</t>
  </si>
  <si>
    <t>BA-T01</t>
  </si>
  <si>
    <t>Pattern Recognition</t>
  </si>
  <si>
    <t>Recognise a simple operational pattern</t>
  </si>
  <si>
    <t>A machine flashes colours in the order as shown in the image. What comes next if the pattern repeats?</t>
  </si>
  <si>
    <t>Red</t>
  </si>
  <si>
    <t>Blue</t>
  </si>
  <si>
    <t>Green</t>
  </si>
  <si>
    <t>Yellow</t>
  </si>
  <si>
    <t>Red is the best choice because it directly applies pattern recognition to the situation and addresses the stated need with a practical, responsible action.</t>
  </si>
  <si>
    <t>A clean Grade 8 educational table or chart illustrating: A machine flashes colours in this order: red, blue, blue, red, blue, blue. What comes next if the pattern repeats?</t>
  </si>
  <si>
    <t>Create a clear, age-appropriate educational visual for Grade 8. Show only the information needed for this MCQ: A machine flashes colours in this order: red, blue, blue, red, blue, blue. What comes next if the pattern repeats? Use a light background, simple labels, high contrast, no answer clues, landscape 4:3.</t>
  </si>
  <si>
    <t>PSI_PR_08_008.png</t>
  </si>
  <si>
    <t>PSI-VAT-08-009</t>
  </si>
  <si>
    <t>VAT</t>
  </si>
  <si>
    <t>Validation and Trial</t>
  </si>
  <si>
    <t>Choose an appropriate prototype test</t>
  </si>
  <si>
    <t>A team designs a low-cost reading lamp. Which test gives the most useful evidence?</t>
  </si>
  <si>
    <t>Ask the designer whether it looks good</t>
  </si>
  <si>
    <t>Let several students use it and record findings</t>
  </si>
  <si>
    <t>Count how many stickers are on it</t>
  </si>
  <si>
    <t>Compare  its body colour with another lamp</t>
  </si>
  <si>
    <t>Let several students use it and record brightness, stability and heat</t>
  </si>
  <si>
    <t>08_EM_TC_009</t>
  </si>
  <si>
    <t>Let several students use it and record brightness, stability and heat is the best choice because it directly applies validation and trial to the situation and addresses the stated need with a practical, responsible action.</t>
  </si>
  <si>
    <t>A clean Grade 8 educational real-life scene illustrating: A team designs a low-cost reading lamp. Which test gives the most useful evidence?</t>
  </si>
  <si>
    <t>Create a clear, age-appropriate educational visual for Grade 8. Show only the information needed for this MCQ: A team designs a low-cost reading lamp. Which test gives the most useful evidence? Use a light background, simple labels, high contrast, no answer clues, landscape 4:3.</t>
  </si>
  <si>
    <t>TC</t>
  </si>
  <si>
    <t>PSI_VAT_08_009.png</t>
  </si>
  <si>
    <t>TC-T01</t>
  </si>
  <si>
    <t>PSI-CAE-08-010</t>
  </si>
  <si>
    <t>CAE</t>
  </si>
  <si>
    <t>Cause and Effect</t>
  </si>
  <si>
    <t>Separate symptoms from likely causes</t>
  </si>
  <si>
    <t>A classroom becomes very hot every afternoon. What is the best way to investigate the cause?</t>
  </si>
  <si>
    <t>Buy new curtains and install AC</t>
  </si>
  <si>
    <t>Move the class permanently to a new place</t>
  </si>
  <si>
    <t>Measure ventilation and temperature at different times</t>
  </si>
  <si>
    <t>Switch off all lights for one minute to cool down</t>
  </si>
  <si>
    <t>Measure sunlight, ventilation and temperature at different times is the best choice because it directly applies cause and effect to the situation and addresses the stated need with a practical, responsible action.</t>
  </si>
  <si>
    <t>PSI-DM-08-011</t>
  </si>
  <si>
    <t>DM</t>
  </si>
  <si>
    <t>Decision Making</t>
  </si>
  <si>
    <t>Compare alternatives using agreed criteria</t>
  </si>
  <si>
    <t>Three bridge models are scored out of 5: P—strength 5, cost 2; Q—strength 4, cost 4; R—strength 2, cost 5. If both strength and cost matter equally, which is the balanced choice?</t>
  </si>
  <si>
    <t>R</t>
  </si>
  <si>
    <t>All are equal</t>
  </si>
  <si>
    <t>Q</t>
  </si>
  <si>
    <t>Q is the best choice because it directly applies decision making to the situation and addresses the stated need with a practical, responsible action.</t>
  </si>
  <si>
    <t>PSI-CPS-08-012</t>
  </si>
  <si>
    <t>CPS</t>
  </si>
  <si>
    <t>Creative Problem Solving</t>
  </si>
  <si>
    <t>08_EM_OI_010</t>
  </si>
  <si>
    <t>Generate a practical improvement under constraints</t>
  </si>
  <si>
    <t>OI</t>
  </si>
  <si>
    <t>OI-T01</t>
  </si>
  <si>
    <t>Students need a handwashing reminder where electricity is unavailable. Which solution is most suitable?</t>
  </si>
  <si>
    <t>A waterproof flip-sign placed near the tap</t>
  </si>
  <si>
    <t>A television screen with big messsage</t>
  </si>
  <si>
    <t>A phone app  with sound &amp; internet</t>
  </si>
  <si>
    <t>A loudspeaker used all day with regular announcements</t>
  </si>
  <si>
    <t>A waterproof flip-sign placed near the tap is the best choice because it directly applies creative problem solving to the situation and addresses the stated need with a practical, responsible action.</t>
  </si>
  <si>
    <t>ETDR-AR-08-001</t>
  </si>
  <si>
    <t>ETDR</t>
  </si>
  <si>
    <t>Emerging Technologies &amp; Digital Readiness</t>
  </si>
  <si>
    <t>AR</t>
  </si>
  <si>
    <t>AI Responsibility</t>
  </si>
  <si>
    <t>Use AI transparently and responsibly</t>
  </si>
  <si>
    <t>Digital Readiness</t>
  </si>
  <si>
    <t>Arjun uses an AI tool to suggest ideas for his science project. What should he do?</t>
  </si>
  <si>
    <t>Submit the output from AI and boost of being smart</t>
  </si>
  <si>
    <t>Verify the facts, rewrite in his words and mention AI assistance</t>
  </si>
  <si>
    <t>Hide the use of AI from his teacher and use reasoning to claim own</t>
  </si>
  <si>
    <t>Give output to another AI and make it better</t>
  </si>
  <si>
    <t>Check the facts, rewrite in his words and mention AI assistance</t>
  </si>
  <si>
    <t>Check the facts, rewrite in his words and mention AI assistance is the best choice because it directly applies ai responsibility to the situation and addresses the stated need with a practical, responsible action.</t>
  </si>
  <si>
    <t>Builds practical digital readiness for future study, work and responsible citizenship.</t>
  </si>
  <si>
    <t>ETDR-CS-08-002</t>
  </si>
  <si>
    <t>CS</t>
  </si>
  <si>
    <t>Cyber Safety</t>
  </si>
  <si>
    <t>Respond safely to a suspicious message</t>
  </si>
  <si>
    <t>Abhishek receives this message on his mobile phone (refer to the image). What is the safest response?</t>
  </si>
  <si>
    <t>Send only half the password</t>
  </si>
  <si>
    <t>Forward it to friends</t>
  </si>
  <si>
    <t>Do not reply; verify the message</t>
  </si>
  <si>
    <t>Click the link to see what happens</t>
  </si>
  <si>
    <t>Do not reply; report and verify through the official app</t>
  </si>
  <si>
    <t>Do not reply; report and verify through the official app is the best choice because it directly applies cyber safety to the situation and addresses the stated need with a practical, responsible action.</t>
  </si>
  <si>
    <t>A clean Grade 8 educational table or chart illustrating: A message says, “Your game account will close in 10 minutes—send your password now.” What is the safest response?</t>
  </si>
  <si>
    <t>Create a clear, age-appropriate educational visual for Grade 8. Show only the information needed for this MCQ: A message says, “Your game account will close in 10 minutes—send your password now.” What is the safest response? Use a light background, simple labels, high contrast, no answer clues, landscape 4:3.</t>
  </si>
  <si>
    <t>ETDR_CS_08_002.png</t>
  </si>
  <si>
    <t>ETDR-CTL-08-010</t>
  </si>
  <si>
    <t>08_EM_CE_011</t>
  </si>
  <si>
    <t>CTL</t>
  </si>
  <si>
    <t>CE-T03</t>
  </si>
  <si>
    <t>Computational Thinking &amp; Coding Logic</t>
  </si>
  <si>
    <t>Flowcharts</t>
  </si>
  <si>
    <t>Apply computational thinking to design a simple solution</t>
  </si>
  <si>
    <t>IMAGINE</t>
  </si>
  <si>
    <t>Future Oriented</t>
  </si>
  <si>
    <t>Hard</t>
  </si>
  <si>
    <t>Ability to read and interpret flowcharts</t>
  </si>
  <si>
    <t>Look at the flowchart on the whiteboard. What decision does this flowchart help the student make?</t>
  </si>
  <si>
    <t>Enjoy the rain and go out</t>
  </si>
  <si>
    <t>Whether to take an umbrella before going outside</t>
  </si>
  <si>
    <t>Which umbrealla is best to use</t>
  </si>
  <si>
    <t>What time to leave for school in the morning</t>
  </si>
  <si>
    <t>The flowchart shows a clear decision: if it is raining, take an umbrella; if not, go outside without one—helping decide whether to carry an umbrella.</t>
  </si>
  <si>
    <t>Flowcharts are visual tools used in coding and planning to map out decisions and processes—helping you think clearly before taking action.</t>
  </si>
  <si>
    <t>An illustration showing a young Indian student standing next to a whiteboard. On the whiteboard, there is a simple flowchart with boxes and arrows showing steps: "Start" at the top, then an arrow to a diamond-shaped box with text "Is it raining?" Inside the diamond, there are two arrows coming out. One arrow labelled "Yes" leads to a rectangular box saying "Take umbrella". The other arrow labelled "No" leads to a rectangular box saying "Go outside". Both paths then join and lead to a final box saying "End". The student is pointing at the flowchart with a marker in hand. The background shows a classroom setting with a window showing a cloudy sky.</t>
  </si>
  <si>
    <t>A colorful cartoon-style illustration of a 14-year-old Indian student standing next to a whiteboard in a classroom. On the whiteboard, a simple flowchart is drawn with boxes and arrows showing: "Start" at the top, then an arrow to a diamond-shaped box with text "Is it raining?" Inside the diamond, two arrows come out—one labelled "Yes" leading to a rectangular box "Take umbrella" and one labelled "No" leading to a rectangular box "Go outside". Both paths then join and lead to a final box "End". The student is pointing at the flowchart with a marker. The background shows a classroom with desks and a window with a cloudy sky. Bright, engaging, educational style for 14-year-olds.</t>
  </si>
  <si>
    <t>https://drive.google.com/file/d/1ZxahvHgliTJBzsVxXkvLz7DNB7Mqmwjo/view?usp=drive_link</t>
  </si>
  <si>
    <t>ETDR-DP-08-004</t>
  </si>
  <si>
    <t>DP</t>
  </si>
  <si>
    <t>Digital Privacy</t>
  </si>
  <si>
    <t>Choose privacy-protecting settings</t>
  </si>
  <si>
    <t>Pooja's social media profile shows her phone number, home address, school name and hobby visible publicly. Which change is most important?</t>
  </si>
  <si>
    <t>Hide personal contact and location details</t>
  </si>
  <si>
    <t>Add more photographs and interests</t>
  </si>
  <si>
    <t xml:space="preserve">Use a brighter &amp; recent profile picture </t>
  </si>
  <si>
    <t xml:space="preserve">Invite friends to share their contact numbers &amp; photos </t>
  </si>
  <si>
    <t>08_EM_CE_012</t>
  </si>
  <si>
    <t>Hide personal contact and location details is the best choice because it directly applies digital privacy to the situation and addresses the stated need with a practical, responsible action.</t>
  </si>
  <si>
    <t>CE-T04</t>
  </si>
  <si>
    <t>ETDR-CT-08-005</t>
  </si>
  <si>
    <t>CT</t>
  </si>
  <si>
    <t>Computational Thinking</t>
  </si>
  <si>
    <t>Break a task into logical steps</t>
  </si>
  <si>
    <t>A robot must collect paper, avoid chairs and reach a bin. What should the programmer do first?</t>
  </si>
  <si>
    <t>Write one long command and run the robot</t>
  </si>
  <si>
    <t>Break the task into smaller steps (sense, avoid, move)</t>
  </si>
  <si>
    <t>Study and remove non useful sensors</t>
  </si>
  <si>
    <t>Ask the robot to guess and operate on own</t>
  </si>
  <si>
    <t>Break the task into sense, move, avoid and drop steps</t>
  </si>
  <si>
    <t>Break the task into sense, move, avoid and drop steps is the best choice because it directly applies computational thinking to the situation and addresses the stated need with a practical, responsible action.</t>
  </si>
  <si>
    <t>ETDR-TFI-08-006</t>
  </si>
  <si>
    <t>TFI</t>
  </si>
  <si>
    <t>Technology for Inclusion</t>
  </si>
  <si>
    <t>Select technology that improves accessibility</t>
  </si>
  <si>
    <t>Which feature best helps a visually impaired student use a learning website?</t>
  </si>
  <si>
    <t>Flashing advertisements</t>
  </si>
  <si>
    <t>Tiny decorative text</t>
  </si>
  <si>
    <t>Screen-reader labels and keyboard navigation</t>
  </si>
  <si>
    <t>Automatic video sound</t>
  </si>
  <si>
    <t>Screen-reader labels and keyboard navigation is the best choice because it directly applies technology for inclusion to the situation and addresses the stated need with a practical, responsible action.</t>
  </si>
  <si>
    <t>ETDR-MD-08-007</t>
  </si>
  <si>
    <t>MD</t>
  </si>
  <si>
    <t>Misinformation Detection</t>
  </si>
  <si>
    <t>Verify an online claim before sharing</t>
  </si>
  <si>
    <t>08_EM_EF_013</t>
  </si>
  <si>
    <t>A viral post claims school is closed, but gives no source. What should a student do?</t>
  </si>
  <si>
    <t>Share it quickly</t>
  </si>
  <si>
    <t>Believe it because many people liked it</t>
  </si>
  <si>
    <t>Add an exciting caption</t>
  </si>
  <si>
    <t>Check the official school channel before sharing</t>
  </si>
  <si>
    <t>EF-T02</t>
  </si>
  <si>
    <t>Check the official school channel before sharing is the best choice because it directly applies misinformation detection to the situation and addresses the stated need with a practical, responsible action.</t>
  </si>
  <si>
    <t>ETDR-DF-08-008</t>
  </si>
  <si>
    <t>DF</t>
  </si>
  <si>
    <t>Digital Footprint</t>
  </si>
  <si>
    <t>Recognise the long-term effect of online actions</t>
  </si>
  <si>
    <t>A person does this- copied, screenshotted and forwards a social media post. What lesson does it communicate?</t>
  </si>
  <si>
    <t>Online posts can remain and spread even after deletion</t>
  </si>
  <si>
    <t>Deleted posts always disappear everywhere</t>
  </si>
  <si>
    <t>Only famous people have digital footprints</t>
  </si>
  <si>
    <t>Screenshots cannot be shared</t>
  </si>
  <si>
    <t>Online posts can remain and spread even after deletion is the best choice because it directly applies digital footprint to the situation and addresses the stated need with a practical, responsible action.</t>
  </si>
  <si>
    <t>A clean Grade 8 educational table or chart illustrating: A diagram shows a post being copied, screenshotted and forwarded. What lesson does it communicate?</t>
  </si>
  <si>
    <t>Create a clear, age-appropriate educational visual for Grade 8. Show only the information needed for this MCQ: A diagram shows a post being copied, screenshotted and forwarded. What lesson does it communicate? Use a light background, simple labels, high contrast, no answer clues, landscape 4:3.</t>
  </si>
  <si>
    <t>ETDR_DF_08_008.png</t>
  </si>
  <si>
    <t>ETDR-ET-08-009</t>
  </si>
  <si>
    <t>ET</t>
  </si>
  <si>
    <t>Emerging Technology</t>
  </si>
  <si>
    <t>Match a technology to a useful application</t>
  </si>
  <si>
    <t>A farmer wants to check crop health across a large field quickly. Which method/tool is most suitable?</t>
  </si>
  <si>
    <t xml:space="preserve">A good running track in the field </t>
  </si>
  <si>
    <t>A camera-equipped drone</t>
  </si>
  <si>
    <t>A big team to go around and check the crop</t>
  </si>
  <si>
    <t>A barcode on the gate</t>
  </si>
  <si>
    <t>A camera-equipped drone is the best choice because it directly applies emerging technology to the situation and addresses the stated need with a practical, responsible action.</t>
  </si>
  <si>
    <t>A clean Grade 8 educational real-life scene illustrating: A farmer wants to check crop health across a large field quickly. Which tool is most suitable?</t>
  </si>
  <si>
    <t>Create a clear, age-appropriate educational visual for Grade 8. Show only the information needed for this MCQ: A farmer wants to check crop health across a large field quickly. Which tool is most suitable? Use a light background, simple labels, high contrast, no answer clues, landscape 4:3.</t>
  </si>
  <si>
    <t>ETDR_ET_08_009.png</t>
  </si>
  <si>
    <t>ETDR-DW-08-010</t>
  </si>
  <si>
    <t>DW</t>
  </si>
  <si>
    <t>Digital Wellbeing</t>
  </si>
  <si>
    <t>Design a balanced technology routine</t>
  </si>
  <si>
    <t>Which plan best supports healthy digital habits during study?</t>
  </si>
  <si>
    <t>Keep every notification on</t>
  </si>
  <si>
    <t>Study with five entertainment tabs open</t>
  </si>
  <si>
    <t>Use focus mode, take timed breaks and keep the phone away</t>
  </si>
  <si>
    <t>Use the phone throughout the night</t>
  </si>
  <si>
    <t>08_PSI_PC_001</t>
  </si>
  <si>
    <t>Use focus mode, take timed breaks and keep the phone away is the best choice because it directly applies digital wellbeing to the situation and addresses the stated need with a practical, responsible action.</t>
  </si>
  <si>
    <t>Problem Solving with Creativity</t>
  </si>
  <si>
    <t>PC</t>
  </si>
  <si>
    <t>PC-T01</t>
  </si>
  <si>
    <t>FRG-CR-08-001</t>
  </si>
  <si>
    <t>FRG</t>
  </si>
  <si>
    <t>Future Readiness &amp; Global Awareness</t>
  </si>
  <si>
    <t>CR</t>
  </si>
  <si>
    <t>Climate Responsibility</t>
  </si>
  <si>
    <t>Choose a locally effective climate action</t>
  </si>
  <si>
    <t>Global Awareness</t>
  </si>
  <si>
    <t>A neighbourhood wants to reduce summer heat. Which action offers the broadest long-term benefit?</t>
  </si>
  <si>
    <t>Paint every wall black</t>
  </si>
  <si>
    <t>Run outdoor coolers all day</t>
  </si>
  <si>
    <t>Remove soil and add concrete</t>
  </si>
  <si>
    <t>Plant and care for native shade trees</t>
  </si>
  <si>
    <t>Plant and care for native shade trees is the best choice because it directly applies climate responsibility to the situation and addresses the stated need with a practical, responsible action.</t>
  </si>
  <si>
    <t>Builds practical global awareness for future study, work and responsible citizenship.</t>
  </si>
  <si>
    <t>FRG-GI-08-002</t>
  </si>
  <si>
    <t>GI</t>
  </si>
  <si>
    <t>Global Interdependence</t>
  </si>
  <si>
    <t>Understand how events in one place affect others</t>
  </si>
  <si>
    <t>A port delay causes imported computer parts to arrive late. What does this best show?</t>
  </si>
  <si>
    <t>Global supply chains connect producers and buyers</t>
  </si>
  <si>
    <t>Countries are completely independent and do not need imports</t>
  </si>
  <si>
    <t>Only ports &amp; shipping industry are affected by trade</t>
  </si>
  <si>
    <t>Local shops &amp; manufacturers never depend on imports</t>
  </si>
  <si>
    <t>Global supply chains connect producers and buyers is the best choice because it directly applies global interdependence to the situation and addresses the stated need with a practical, responsible action.</t>
  </si>
  <si>
    <t>FRG-FS-08-003</t>
  </si>
  <si>
    <t>FS</t>
  </si>
  <si>
    <t>Future Skills</t>
  </si>
  <si>
    <t>Interpret information about changing work</t>
  </si>
  <si>
    <t>08_PSI_PC_002</t>
  </si>
  <si>
    <t>A chart shows demand rising for data analysis, communication and green-energy skills. Which plan best prepares a student?</t>
  </si>
  <si>
    <t>Learn all 20 skills to prepare for everything</t>
  </si>
  <si>
    <t>Learning digital, communication and sustainability skills</t>
  </si>
  <si>
    <t xml:space="preserve">Learn technology usage  and Driving skills for gig jobs </t>
  </si>
  <si>
    <t>Ignore new technology &amp; advancements as they keep changing</t>
  </si>
  <si>
    <t>PC-T02</t>
  </si>
  <si>
    <t>Develop a mix of digital, communication and sustainability skills</t>
  </si>
  <si>
    <t>Develop a mix of digital, communication and sustainability skills is the best choice because it directly applies future skills to the situation and addresses the stated need with a practical, responsible action.</t>
  </si>
  <si>
    <t>FRG-CA-08-004</t>
  </si>
  <si>
    <t>CA</t>
  </si>
  <si>
    <t>Cultural Awareness</t>
  </si>
  <si>
    <t>Respond respectfully to cultural differences</t>
  </si>
  <si>
    <t>A group of students is meeting. What is the most respectful  response</t>
  </si>
  <si>
    <t>Make fun of unfamiliar food that they don't like</t>
  </si>
  <si>
    <t>Insist everyone eat the same food in a sequence</t>
  </si>
  <si>
    <t>Ask questions and learn about each tradition/food</t>
  </si>
  <si>
    <t>Avoid speaking to students from other cultures</t>
  </si>
  <si>
    <t>Ask respectful questions and learn about each tradition</t>
  </si>
  <si>
    <t>Ask respectful questions and learn about each tradition is the best choice because it directly applies cultural awareness to the situation and addresses the stated need with a practical, responsible action.</t>
  </si>
  <si>
    <t>A clean Grade 8 educational table or chart illustrating: An image shows students from several countries sharing different festival foods. What is the most respectful response?</t>
  </si>
  <si>
    <t>Create a clear, age-appropriate educational visual for Grade 8. Show only the information needed for this MCQ: An image shows students from several countries sharing different festival foods. What is the most respectful response? Use a light background, simple labels, high contrast, no answer clues, landscape 4:3.</t>
  </si>
  <si>
    <t>FRG_CA_08_004.png</t>
  </si>
  <si>
    <t>FRG-FWC-08-002</t>
  </si>
  <si>
    <t>FWC</t>
  </si>
  <si>
    <t>Future of Work, Careers &amp; Lifelong Learning</t>
  </si>
  <si>
    <t>Identify the skills that will remain valuable in the future workplace.</t>
  </si>
  <si>
    <t>KNOW (Foundation Knowledge)</t>
  </si>
  <si>
    <t>Knowledge Based</t>
  </si>
  <si>
    <t>Collaboration &amp; Problem Solving</t>
  </si>
  <si>
    <t>Look at the picture. Which student is demonstrating one of the most important future-ready skills?</t>
  </si>
  <si>
    <t>Student A</t>
  </si>
  <si>
    <t>Student B</t>
  </si>
  <si>
    <t>Student C</t>
  </si>
  <si>
    <t>Student D</t>
  </si>
  <si>
    <t>Collaboration and problem-solving are considered among the most important future skills.</t>
  </si>
  <si>
    <t>The jobs of tomorrow will reward people who can work together to solve new and complex problems.</t>
  </si>
  <si>
    <t>Four students are shown performing different activities: Student A memorizing a textbook Student B solving a puzzle with teammates Student C copying notes from another student Student D decorating a notebook</t>
  </si>
  <si>
    <t>Flat vector illustration, educational style, white background. Four Grade-8 students shown in four equal panels. Panel A: student memorizing from a textbook. Panel B: two students collaborating to solve a puzzle using sticky notes. Panel C: student copying homework. Panel D: student decorating a notebook. Bright colors, clean design, no text inside the illustration.</t>
  </si>
  <si>
    <t>https://drive.google.com/file/d/1WKJ4LSuTHsn2Ban-Ihu5wmVt3cgAGxgs/view?usp=drive_link</t>
  </si>
  <si>
    <t>FRG-CR-08-006</t>
  </si>
  <si>
    <t>Community Resilience</t>
  </si>
  <si>
    <t>08_PSI_DI_003</t>
  </si>
  <si>
    <t>Plan for a disruption using available resources</t>
  </si>
  <si>
    <t>DI-T01</t>
  </si>
  <si>
    <t>Heavy rain may cut electricity for a day. Which school plan is most useful?</t>
  </si>
  <si>
    <t>Prepare emergency lights and other measures</t>
  </si>
  <si>
    <t>Wait until the power fails and do not act</t>
  </si>
  <si>
    <t>Cancel all planning &amp; activities</t>
  </si>
  <si>
    <t>Ask students &amp; teachers to bring oil lamps</t>
  </si>
  <si>
    <t>Prepare emergency lights, contacts and safe assembly procedures</t>
  </si>
  <si>
    <t>Prepare emergency lights, contacts and safe assembly procedures is the best choice because it directly applies community resilience to the situation and addresses the stated need with a practical, responsible action.</t>
  </si>
  <si>
    <t>FRG-GC-08-007</t>
  </si>
  <si>
    <t>GC</t>
  </si>
  <si>
    <t>Global Citizenship</t>
  </si>
  <si>
    <t>Choose responsible action on a shared global issue</t>
  </si>
  <si>
    <t>Students learn that electronic waste is often dumped unsafely. What is the best response?</t>
  </si>
  <si>
    <t>Throw devices into general waste</t>
  </si>
  <si>
    <t>Use authorised e-waste collection and extend device life</t>
  </si>
  <si>
    <t>Burn old wires</t>
  </si>
  <si>
    <t>Buy a new device every year</t>
  </si>
  <si>
    <t>Use authorised e-waste collection and extend device life is the best choice because it directly applies global citizenship to the situation and addresses the stated need with a practical, responsible action.</t>
  </si>
  <si>
    <t>FRG-A-08-008</t>
  </si>
  <si>
    <t>Adaptability</t>
  </si>
  <si>
    <t>Learn and adjust when future conditions change</t>
  </si>
  <si>
    <t>A timeline shows a student learning spreadsheet skills, receiving feedback, practising, and improving. Which future-ready quality is shown?</t>
  </si>
  <si>
    <t>Avoiding change as feedback is not good</t>
  </si>
  <si>
    <t>Working on an Excel sheet is the most important skill</t>
  </si>
  <si>
    <t>Adaptability through continuous learning</t>
  </si>
  <si>
    <t>Waiting for perfect instructions from teacher</t>
  </si>
  <si>
    <t>Adaptability through continuous learning is the best choice because it directly applies adaptability to the situation and addresses the stated need with a practical, responsible action.</t>
  </si>
  <si>
    <t>FRD-B-08-001</t>
  </si>
  <si>
    <t>08_PSI_DE_004</t>
  </si>
  <si>
    <t>FRD</t>
  </si>
  <si>
    <t>Financial Readiness</t>
  </si>
  <si>
    <t>Budgeting</t>
  </si>
  <si>
    <t>Design Thinking &amp; Ethics</t>
  </si>
  <si>
    <t>DE</t>
  </si>
  <si>
    <t>DE-T01</t>
  </si>
  <si>
    <t>Distinguish needs from wants in a limited budget</t>
  </si>
  <si>
    <t>Financial Awareness</t>
  </si>
  <si>
    <t>Meera has ₹500. She needs a notebook for ₹120 and bus fare of ₹200, and wants headphones for ₹350. What is the wisest choice?</t>
  </si>
  <si>
    <t>Buy headphones first</t>
  </si>
  <si>
    <t>Borrow money for all three</t>
  </si>
  <si>
    <t>Spend everything on snacks</t>
  </si>
  <si>
    <t>Pay for the notebook and bus fare, then save the rest</t>
  </si>
  <si>
    <t>Pay for the notebook and bus fare, then save the rest is the best choice because it directly applies budgeting to the situation and addresses the stated need with a practical, responsible action.</t>
  </si>
  <si>
    <t>Builds practical financial awareness for future study, work and responsible citizenship.</t>
  </si>
  <si>
    <t>FRD-SG-08-002</t>
  </si>
  <si>
    <t>SG</t>
  </si>
  <si>
    <t>Saving Goals</t>
  </si>
  <si>
    <t>Make a simple saving plan</t>
  </si>
  <si>
    <t>Study the image. How much should be saved each month to achieve the goal?</t>
  </si>
  <si>
    <t>₹100</t>
  </si>
  <si>
    <t>₹50</t>
  </si>
  <si>
    <t>₹75</t>
  </si>
  <si>
    <t>₹150</t>
  </si>
  <si>
    <t>₹100 is the best choice because it directly applies saving goals to the situation and addresses the stated need with a practical, responsible action.</t>
  </si>
  <si>
    <t>A clean Grade 8 educational table or chart illustrating: A student wants ₹600 for a course in six months. How much should be saved each month?</t>
  </si>
  <si>
    <t>Create a clear, age-appropriate educational visual for Grade 8. Show only the information needed for this MCQ: A student wants ₹600 for a course in six months. How much should be saved each month? Use a light background, simple labels, high contrast, no answer clues, landscape 4:3.</t>
  </si>
  <si>
    <t>FRD_SG_08_002.png</t>
  </si>
  <si>
    <t>FRD-PC-08-003</t>
  </si>
  <si>
    <t>Price Comparison</t>
  </si>
  <si>
    <t>Compare value using unit prices</t>
  </si>
  <si>
    <t>Study the chart. Which pack has the lower cost per pen?</t>
  </si>
  <si>
    <t>The 5-pen pack</t>
  </si>
  <si>
    <t>The 8-pen pack</t>
  </si>
  <si>
    <t>Both cost the same per pen</t>
  </si>
  <si>
    <t>There is not enough information</t>
  </si>
  <si>
    <t>The 8-pen pack is the best choice because it directly applies price comparison to the situation and addresses the stated need with a practical, responsible action.</t>
  </si>
  <si>
    <t>A clean Grade 8 educational real-life scene illustrating: A chart shows 5 pens for ₹50 and 8 similar pens for ₹72. Which pack has the lower cost per pen?</t>
  </si>
  <si>
    <t>Create a clear, age-appropriate educational visual for Grade 8. Show only the information needed for this MCQ: A chart shows 5 pens for ₹50 and 8 similar pens for ₹72. Which pack has the lower cost per pen? Use a light background, simple labels, high contrast, no answer clues, landscape 4:3.</t>
  </si>
  <si>
    <t>FRD_PC_08_003.png</t>
  </si>
  <si>
    <t>FRD-DPS-08-004</t>
  </si>
  <si>
    <t>Digital Payment Safety</t>
  </si>
  <si>
    <t>Protect financial information during payment</t>
  </si>
  <si>
    <t>A caller asks Raja for an OTP to “confirm a refund.” What should the account holder do?</t>
  </si>
  <si>
    <t>Share it if the caller sounds polite</t>
  </si>
  <si>
    <t>Share only the last two digits</t>
  </si>
  <si>
    <t xml:space="preserve">Never share the OTP </t>
  </si>
  <si>
    <t>Post the OTP in the help chat</t>
  </si>
  <si>
    <t>Never share the OTP and contact the bank through an official channel</t>
  </si>
  <si>
    <t>Never share the OTP and contact the bank through an official channel is the best choice because it directly applies digital payment safety to the situation and addresses the stated need with a practical, responsible action.</t>
  </si>
  <si>
    <t>FRD-IAE-08-005</t>
  </si>
  <si>
    <t>IAE</t>
  </si>
  <si>
    <t>Income and Expense</t>
  </si>
  <si>
    <t>Calculate remaining money after expenses</t>
  </si>
  <si>
    <t>08_PSI_PC_005</t>
  </si>
  <si>
    <t>Kabir earns ₹800 from a weekend project and spends ₹250 on materials and ₹150 on travel. How much remains?</t>
  </si>
  <si>
    <t>₹300</t>
  </si>
  <si>
    <t>₹500</t>
  </si>
  <si>
    <t>PC-T03</t>
  </si>
  <si>
    <t>₹600</t>
  </si>
  <si>
    <t>₹400</t>
  </si>
  <si>
    <t>₹400 is the best choice because it directly applies income and expense to the situation and addresses the stated need with a practical, responsible action.</t>
  </si>
  <si>
    <t>FRD-FR-08-006</t>
  </si>
  <si>
    <t>FR</t>
  </si>
  <si>
    <t>Financial Risk</t>
  </si>
  <si>
    <t>Choose a low-risk response to an unrealistic offer</t>
  </si>
  <si>
    <t>An online ad promises to double money in two days with “zero risk.” What should a student do?</t>
  </si>
  <si>
    <t>Avoid it and discuss it with a trusted adult</t>
  </si>
  <si>
    <t>Invest immediately and wait for the results</t>
  </si>
  <si>
    <t>Borrow money from friends to invest more</t>
  </si>
  <si>
    <t>Share it with classmates &amp; invite them to earn more money</t>
  </si>
  <si>
    <t>Avoid it and discuss it with a trusted adult is the best choice because it directly applies financial risk to the situation and addresses the stated need with a practical, responsible action.</t>
  </si>
  <si>
    <t>FRD-RB-08-007</t>
  </si>
  <si>
    <t>RB</t>
  </si>
  <si>
    <t>Responsible Borrowing</t>
  </si>
  <si>
    <t>Understand the obligation created by borrowing</t>
  </si>
  <si>
    <t>A student borrows ₹300 from a friend for a necessary book. Which action is most responsible?</t>
  </si>
  <si>
    <t>Avoid mentioning repayment</t>
  </si>
  <si>
    <t>Agree on when and how the money will be repaid</t>
  </si>
  <si>
    <t>Borrow from another friend to buy a game</t>
  </si>
  <si>
    <t>Promise an amount that cannot be paid</t>
  </si>
  <si>
    <t>Agree on when and how the money will be repaid is the best choice because it directly applies responsible borrowing to the situation and addresses the stated need with a practical, responsible action.</t>
  </si>
  <si>
    <t>08_PSI_IA_006</t>
  </si>
  <si>
    <t>Innovation &amp; Adaptability</t>
  </si>
  <si>
    <t>IA</t>
  </si>
  <si>
    <t>IA-T01</t>
  </si>
  <si>
    <t>08_PSI_DI_007</t>
  </si>
  <si>
    <t>DI-T02</t>
  </si>
  <si>
    <t>08_PSI_PC_008</t>
  </si>
  <si>
    <t>PC-T04</t>
  </si>
  <si>
    <t>08_PSI_VT_009</t>
  </si>
  <si>
    <t>Validation &amp; Trial</t>
  </si>
  <si>
    <t>VT</t>
  </si>
  <si>
    <t>VT-T01</t>
  </si>
  <si>
    <t>08_PSI_PC_010</t>
  </si>
  <si>
    <t>PC-T05</t>
  </si>
  <si>
    <t>08_PSI_PC_011</t>
  </si>
  <si>
    <t>PC-T06</t>
  </si>
  <si>
    <t>08_PSI_PC_012</t>
  </si>
  <si>
    <t>PC-T07</t>
  </si>
  <si>
    <t>08_ETD_AIM_001</t>
  </si>
  <si>
    <t>ETD</t>
  </si>
  <si>
    <t>Artificial Intelligence &amp; Machine Learning</t>
  </si>
  <si>
    <t>AIM</t>
  </si>
  <si>
    <t>AIM-T01</t>
  </si>
  <si>
    <t>08_ETD_DSC_002</t>
  </si>
  <si>
    <t>Digital Safety &amp; Cyber Security</t>
  </si>
  <si>
    <t>DSC</t>
  </si>
  <si>
    <t>DSC-T01</t>
  </si>
  <si>
    <t>08_ETD_CTL_003</t>
  </si>
  <si>
    <t>CTL-T01</t>
  </si>
  <si>
    <t>08_ETD_DSC_004</t>
  </si>
  <si>
    <t>DSC-T02</t>
  </si>
  <si>
    <t>08_ETD_CTL_005</t>
  </si>
  <si>
    <t>CTL-T02</t>
  </si>
  <si>
    <t>08_ETD_DLT_006</t>
  </si>
  <si>
    <t>Data Literacy &amp; Digital Tools</t>
  </si>
  <si>
    <t>DLT</t>
  </si>
  <si>
    <t>DLT-T01</t>
  </si>
  <si>
    <t>08_ETD_DLT_007</t>
  </si>
  <si>
    <t>DLT-T02</t>
  </si>
  <si>
    <t>08_ETD_DSC_008</t>
  </si>
  <si>
    <t>DSC-T03</t>
  </si>
  <si>
    <t>08_ETD_FDT_009</t>
  </si>
  <si>
    <t>Frontier &amp; Deep Technologies</t>
  </si>
  <si>
    <t>FDT</t>
  </si>
  <si>
    <t>FDT-T01</t>
  </si>
  <si>
    <t>08_ETD_DLT_010</t>
  </si>
  <si>
    <t>DLT-T03</t>
  </si>
  <si>
    <t>08_FRG_SCA_001</t>
  </si>
  <si>
    <t>Sustainability &amp; Climate Awareness</t>
  </si>
  <si>
    <t>SCA</t>
  </si>
  <si>
    <t>SCA-T01</t>
  </si>
  <si>
    <t>08_FRG_GAW_002</t>
  </si>
  <si>
    <t>GAW</t>
  </si>
  <si>
    <t>GAW-T01</t>
  </si>
  <si>
    <t>08_FRG_FWC_003</t>
  </si>
  <si>
    <t>FWC-T01</t>
  </si>
  <si>
    <t>08_FRG_GAW_004</t>
  </si>
  <si>
    <t>GAW-T02</t>
  </si>
  <si>
    <t>08_FRG_FWC_005</t>
  </si>
  <si>
    <t>FWC-T02</t>
  </si>
  <si>
    <t>08_FRG_SCA_006</t>
  </si>
  <si>
    <t>SCA-T02</t>
  </si>
  <si>
    <t>08_FRG_GAW_007</t>
  </si>
  <si>
    <t>GAW-T03</t>
  </si>
  <si>
    <t>08_FRG_FWC_008</t>
  </si>
  <si>
    <t>FWC-T03</t>
  </si>
  <si>
    <t>08_FRD_MMD_001</t>
  </si>
  <si>
    <t>Money Management &amp; Smart Decision Making</t>
  </si>
  <si>
    <t>MMD</t>
  </si>
  <si>
    <t>MMD-T01</t>
  </si>
  <si>
    <t>08_FRD_SIF_002</t>
  </si>
  <si>
    <t>Saving &amp; Investing for the Future</t>
  </si>
  <si>
    <t>SIF</t>
  </si>
  <si>
    <t>SIF-T01</t>
  </si>
  <si>
    <t>08_FRD_MMD_003</t>
  </si>
  <si>
    <t>MMD-T02</t>
  </si>
  <si>
    <t>08_FRD_DBS_004</t>
  </si>
  <si>
    <t>Digital Banking, Payments &amp; Financial Safety</t>
  </si>
  <si>
    <t>DBS</t>
  </si>
  <si>
    <t>DBS-T01</t>
  </si>
  <si>
    <t>08_FRD_MMD_005</t>
  </si>
  <si>
    <t>MMD-T03</t>
  </si>
  <si>
    <t>08_FRD_SIF_006</t>
  </si>
  <si>
    <t>SIF-T02</t>
  </si>
  <si>
    <t>08_FRD_MMD_007</t>
  </si>
  <si>
    <t>MMD-T04</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</si>
</sst>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rgb="FFFFFFFF"/>
      <name val="Arial"/>
      <scheme val="minor"/>
    </font>
    <font>
      <b/>
      <sz val="11.0"/>
      <color rgb="FFFFFFFF"/>
      <name val="Carlito"/>
    </font>
    <font>
      <color theme="1"/>
      <name val="Arial"/>
      <scheme val="minor"/>
    </font>
    <font>
      <color rgb="FF1F2937"/>
      <name val="Aptos"/>
    </font>
    <font>
      <color rgb="FF1F2937"/>
      <name val="Arial"/>
    </font>
    <font>
      <sz val="11.0"/>
      <color theme="1"/>
      <name val="Carlito"/>
    </font>
    <font>
      <sz val="11.0"/>
      <color theme="1"/>
      <name val="Arial"/>
    </font>
    <font>
      <u/>
      <sz val="11.0"/>
      <color rgb="FF467886"/>
      <name val="Arial"/>
    </font>
    <font>
      <u/>
      <sz val="11.0"/>
      <color rgb="FF467886"/>
      <name val="Arial"/>
    </font>
    <font>
      <sz val="11.0"/>
      <color rgb="FF1F2937"/>
      <name val="Aptos"/>
    </font>
    <font>
      <sz val="11.0"/>
      <color rgb="FF1F2937"/>
      <name val="Arial"/>
    </font>
    <font>
      <u/>
      <sz val="11.0"/>
      <color rgb="FF1F2937"/>
      <name val="Aptos"/>
    </font>
    <font>
      <sz val="11.0"/>
      <color theme="1"/>
      <name val="Calibri"/>
    </font>
    <font>
      <u/>
      <sz val="11.0"/>
      <color rgb="FF467886"/>
      <name val="Calibri"/>
    </font>
  </fonts>
  <fills count="6">
    <fill>
      <patternFill patternType="none"/>
    </fill>
    <fill>
      <patternFill patternType="lightGray"/>
    </fill>
    <fill>
      <patternFill patternType="solid">
        <fgColor rgb="FF4285F4"/>
        <bgColor rgb="FF4285F4"/>
      </patternFill>
    </fill>
    <fill>
      <patternFill patternType="solid">
        <fgColor rgb="FF156082"/>
        <bgColor rgb="FF156082"/>
      </patternFill>
    </fill>
    <fill>
      <patternFill patternType="solid">
        <fgColor rgb="FFC1E4F5"/>
        <bgColor rgb="FFC1E4F5"/>
      </patternFill>
    </fill>
    <fill>
      <patternFill patternType="solid">
        <fgColor rgb="FFFFFFFF"/>
        <bgColor rgb="FFFFFFFF"/>
      </patternFill>
    </fill>
  </fills>
  <borders count="10">
    <border/>
    <border>
      <left style="medium">
        <color rgb="FF17365D"/>
      </left>
      <top style="medium">
        <color rgb="FF17365D"/>
      </top>
      <bottom style="medium">
        <color rgb="FF17365D"/>
      </bottom>
    </border>
    <border>
      <top style="medium">
        <color rgb="FF17365D"/>
      </top>
      <bottom style="medium">
        <color rgb="FF17365D"/>
      </bottom>
    </border>
    <border>
      <right style="medium">
        <color rgb="FF17365D"/>
      </right>
      <top style="medium">
        <color rgb="FF17365D"/>
      </top>
      <bottom style="medium">
        <color rgb="FF17365D"/>
      </bottom>
    </border>
    <border>
      <bottom style="thin">
        <color rgb="FFE5E7EB"/>
      </bottom>
    </border>
    <border>
      <top style="thin">
        <color rgb="FFE5E7EB"/>
      </top>
      <bottom style="thin">
        <color rgb="FFE5E7EB"/>
      </bottom>
    </border>
    <border>
      <left style="thin">
        <color rgb="FFD9D9D9"/>
      </left>
      <right style="thin">
        <color rgb="FFD9D9D9"/>
      </right>
      <top style="thin">
        <color rgb="FFD9D9D9"/>
      </top>
      <bottom style="thin">
        <color rgb="FFD9D9D9"/>
      </bottom>
    </border>
    <border>
      <top style="thin">
        <color rgb="FFD9E2F3"/>
      </top>
      <bottom style="thin">
        <color rgb="FFD9E2F3"/>
      </bottom>
    </border>
    <border>
      <bottom style="thin">
        <color rgb="FFD9E1F2"/>
      </bottom>
    </border>
    <border>
      <top style="thin">
        <color rgb="FFE5E7EB"/>
      </top>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3" fontId="2" numFmtId="0" xfId="0" applyAlignment="1" applyBorder="1" applyFill="1" applyFont="1">
      <alignment horizontal="center" shrinkToFit="0" wrapText="1"/>
    </xf>
    <xf borderId="2" fillId="3" fontId="2" numFmtId="0" xfId="0" applyAlignment="1" applyBorder="1" applyFont="1">
      <alignment horizontal="center" shrinkToFit="0" wrapText="1"/>
    </xf>
    <xf borderId="0" fillId="0" fontId="3" numFmtId="0" xfId="0" applyAlignment="1" applyFont="1">
      <alignment readingOrder="0" shrinkToFit="0" vertical="top" wrapText="1"/>
    </xf>
    <xf borderId="0" fillId="0" fontId="3" numFmtId="0" xfId="0" applyAlignment="1" applyFont="1">
      <alignment shrinkToFit="0" vertical="top" wrapText="1"/>
    </xf>
    <xf borderId="3" fillId="3" fontId="2" numFmtId="0" xfId="0" applyAlignment="1" applyBorder="1" applyFont="1">
      <alignment horizontal="center" shrinkToFit="0" wrapText="1"/>
    </xf>
    <xf borderId="0" fillId="3" fontId="2" numFmtId="0" xfId="0" applyAlignment="1" applyFont="1">
      <alignment horizontal="center" shrinkToFit="0" wrapText="1"/>
    </xf>
    <xf borderId="4" fillId="4" fontId="4" numFmtId="0" xfId="0" applyAlignment="1" applyBorder="1" applyFill="1" applyFont="1">
      <alignment shrinkToFit="0" vertical="top" wrapText="1"/>
    </xf>
    <xf borderId="4" fillId="4" fontId="4" numFmtId="0" xfId="0" applyAlignment="1" applyBorder="1" applyFont="1">
      <alignment horizontal="center" shrinkToFit="0" vertical="top" wrapText="1"/>
    </xf>
    <xf borderId="4" fillId="4" fontId="5" numFmtId="0" xfId="0" applyAlignment="1" applyBorder="1" applyFont="1">
      <alignment shrinkToFit="0" vertical="top" wrapText="1"/>
    </xf>
    <xf borderId="4" fillId="4" fontId="6" numFmtId="0" xfId="0" applyAlignment="1" applyBorder="1" applyFont="1">
      <alignment vertical="top"/>
    </xf>
    <xf borderId="0" fillId="4" fontId="6" numFmtId="0" xfId="0" applyAlignment="1" applyFont="1">
      <alignment vertical="top"/>
    </xf>
    <xf borderId="5" fillId="5" fontId="4" numFmtId="0" xfId="0" applyAlignment="1" applyBorder="1" applyFill="1" applyFont="1">
      <alignment shrinkToFit="0" vertical="top" wrapText="1"/>
    </xf>
    <xf borderId="5" fillId="5" fontId="4" numFmtId="0" xfId="0" applyAlignment="1" applyBorder="1" applyFont="1">
      <alignment horizontal="center" shrinkToFit="0" vertical="top" wrapText="1"/>
    </xf>
    <xf borderId="5" fillId="5" fontId="5" numFmtId="0" xfId="0" applyAlignment="1" applyBorder="1" applyFont="1">
      <alignment shrinkToFit="0" vertical="top" wrapText="1"/>
    </xf>
    <xf borderId="5" fillId="5" fontId="6" numFmtId="0" xfId="0" applyAlignment="1" applyBorder="1" applyFont="1">
      <alignment vertical="top"/>
    </xf>
    <xf borderId="0" fillId="5" fontId="6" numFmtId="0" xfId="0" applyAlignment="1" applyFont="1">
      <alignment vertical="top"/>
    </xf>
    <xf borderId="5" fillId="4" fontId="4" numFmtId="0" xfId="0" applyAlignment="1" applyBorder="1" applyFont="1">
      <alignment shrinkToFit="0" vertical="top" wrapText="1"/>
    </xf>
    <xf borderId="5" fillId="4" fontId="4" numFmtId="0" xfId="0" applyAlignment="1" applyBorder="1" applyFont="1">
      <alignment horizontal="center" shrinkToFit="0" vertical="top" wrapText="1"/>
    </xf>
    <xf borderId="5" fillId="4" fontId="5" numFmtId="0" xfId="0" applyAlignment="1" applyBorder="1" applyFont="1">
      <alignment readingOrder="0" shrinkToFit="0" vertical="top" wrapText="1"/>
    </xf>
    <xf borderId="5" fillId="4" fontId="6" numFmtId="0" xfId="0" applyAlignment="1" applyBorder="1" applyFont="1">
      <alignment vertical="top"/>
    </xf>
    <xf borderId="5" fillId="5" fontId="5" numFmtId="0" xfId="0" applyAlignment="1" applyBorder="1" applyFont="1">
      <alignment readingOrder="0" shrinkToFit="0" vertical="top" wrapText="1"/>
    </xf>
    <xf borderId="5" fillId="4" fontId="5" numFmtId="0" xfId="0" applyAlignment="1" applyBorder="1" applyFont="1">
      <alignment shrinkToFit="0" vertical="top" wrapText="1"/>
    </xf>
    <xf borderId="6" fillId="5" fontId="7" numFmtId="0" xfId="0" applyAlignment="1" applyBorder="1" applyFont="1">
      <alignment shrinkToFit="0" vertical="top" wrapText="1"/>
    </xf>
    <xf borderId="6" fillId="5" fontId="6" numFmtId="0" xfId="0" applyAlignment="1" applyBorder="1" applyFont="1">
      <alignment vertical="top"/>
    </xf>
    <xf borderId="0" fillId="5" fontId="8" numFmtId="0" xfId="0" applyAlignment="1" applyFont="1">
      <alignment shrinkToFit="0" vertical="top" wrapText="1"/>
    </xf>
    <xf borderId="6" fillId="4" fontId="7" numFmtId="0" xfId="0" applyAlignment="1" applyBorder="1" applyFont="1">
      <alignment shrinkToFit="0" vertical="top" wrapText="1"/>
    </xf>
    <xf borderId="6" fillId="4" fontId="6" numFmtId="0" xfId="0" applyAlignment="1" applyBorder="1" applyFont="1">
      <alignment vertical="top"/>
    </xf>
    <xf borderId="0" fillId="4" fontId="9" numFmtId="0" xfId="0" applyAlignment="1" applyFont="1">
      <alignment shrinkToFit="0" vertical="top" wrapText="1"/>
    </xf>
    <xf borderId="5" fillId="4" fontId="4" numFmtId="0" xfId="0" applyAlignment="1" applyBorder="1" applyFont="1">
      <alignment readingOrder="0" shrinkToFit="0" vertical="top" wrapText="1"/>
    </xf>
    <xf borderId="7" fillId="5" fontId="10" numFmtId="0" xfId="0" applyAlignment="1" applyBorder="1" applyFont="1">
      <alignment shrinkToFit="0" vertical="top" wrapText="1"/>
    </xf>
    <xf borderId="7" fillId="5" fontId="10" numFmtId="0" xfId="0" applyAlignment="1" applyBorder="1" applyFont="1">
      <alignment horizontal="center" shrinkToFit="0" vertical="top" wrapText="1"/>
    </xf>
    <xf borderId="7" fillId="5" fontId="6" numFmtId="0" xfId="0" applyAlignment="1" applyBorder="1" applyFont="1">
      <alignment vertical="top"/>
    </xf>
    <xf borderId="7" fillId="5" fontId="11" numFmtId="0" xfId="0" applyAlignment="1" applyBorder="1" applyFont="1">
      <alignment shrinkToFit="0" vertical="top" wrapText="1"/>
    </xf>
    <xf borderId="0" fillId="5" fontId="12" numFmtId="0" xfId="0" applyAlignment="1" applyFont="1">
      <alignment horizontal="center" shrinkToFit="0" vertical="top" wrapText="1"/>
    </xf>
    <xf borderId="8" fillId="5" fontId="13" numFmtId="0" xfId="0" applyAlignment="1" applyBorder="1" applyFont="1">
      <alignment shrinkToFit="0" vertical="top" wrapText="1"/>
    </xf>
    <xf borderId="8" fillId="5" fontId="13" numFmtId="0" xfId="0" applyAlignment="1" applyBorder="1" applyFont="1">
      <alignment horizontal="right" shrinkToFit="0" vertical="top" wrapText="1"/>
    </xf>
    <xf borderId="8" fillId="5" fontId="6" numFmtId="0" xfId="0" applyAlignment="1" applyBorder="1" applyFont="1">
      <alignment vertical="top"/>
    </xf>
    <xf borderId="0" fillId="5" fontId="14" numFmtId="0" xfId="0" applyAlignment="1" applyFont="1">
      <alignment shrinkToFit="0" vertical="top" wrapText="1"/>
    </xf>
    <xf borderId="5" fillId="5" fontId="5" numFmtId="0" xfId="0" applyAlignment="1" applyBorder="1" applyFont="1">
      <alignment horizontal="center" readingOrder="0" shrinkToFit="0" vertical="top" wrapText="1"/>
    </xf>
    <xf borderId="9" fillId="5" fontId="4" numFmtId="0" xfId="0" applyAlignment="1" applyBorder="1" applyFont="1">
      <alignment shrinkToFit="0" vertical="top" wrapText="1"/>
    </xf>
    <xf borderId="9" fillId="5" fontId="4" numFmtId="0" xfId="0" applyAlignment="1" applyBorder="1" applyFont="1">
      <alignment horizontal="center" shrinkToFit="0" vertical="top" wrapText="1"/>
    </xf>
    <xf borderId="9" fillId="5" fontId="6" numFmtId="0" xfId="0" applyAlignment="1" applyBorder="1" applyFont="1">
      <alignment vertical="top"/>
    </xf>
    <xf borderId="0" fillId="0" fontId="6" numFmtId="0" xfId="0" applyAlignment="1" applyFont="1">
      <alignment vertical="bottom"/>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1">
    <tableStyle count="3" pivot="0" name="Legacy_Backup-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D51" displayName="Table_1" name="Table_1" id="1">
  <tableColumns count="30">
    <tableColumn name="Question ID" id="1"/>
    <tableColumn name="Grade" id="2"/>
    <tableColumn name="Part Code" id="3"/>
    <tableColumn name="Part Name" id="4"/>
    <tableColumn name="Section Code" id="5"/>
    <tableColumn name="Section Name" id="6"/>
    <tableColumn name="Topic" id="7"/>
    <tableColumn name="Learning Objective" id="8"/>
    <tableColumn name="Question Type" id="9"/>
    <tableColumn name="Question Category" id="10"/>
    <tableColumn name="Difficulty" id="11"/>
    <tableColumn name="Bloom Level" id="12"/>
    <tableColumn name="Competency Assessed" id="13"/>
    <tableColumn name="Question Format" id="14"/>
    <tableColumn name="Visual Required" id="15"/>
    <tableColumn name="Question" id="16"/>
    <tableColumn name="Option A" id="17"/>
    <tableColumn name="Option B" id="18"/>
    <tableColumn name="Option C" id="19"/>
    <tableColumn name="Option D" id="20"/>
    <tableColumn name="Correct Option" id="21"/>
    <tableColumn name="Correct Answer" id="22"/>
    <tableColumn name="Explanation" id="23"/>
    <tableColumn name="Future Ready Insight" id="24"/>
    <tableColumn name="Image Description" id="25"/>
    <tableColumn name="Canva Prompt" id="26"/>
    <tableColumn name="Image Filename" id="27"/>
    <tableColumn name="Reviewer Comments" id="28"/>
    <tableColumn name="Version" id="29"/>
    <tableColumn name="Image Link" id="30"/>
  </tableColumns>
  <tableStyleInfo name="Legacy_Backu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ay_yDgfZRPR5cQjF-2mImgVJ6XPMn-jE/view?usp=drive_link" TargetMode="External"/><Relationship Id="rId2" Type="http://schemas.openxmlformats.org/officeDocument/2006/relationships/hyperlink" Target="https://drive.google.com/file/d/15BvoleShZfFtxLdz7GQHinhqrVvNeBFR/view?usp=drive_link" TargetMode="External"/><Relationship Id="rId3" Type="http://schemas.openxmlformats.org/officeDocument/2006/relationships/hyperlink" Target="https://drive.google.com/file/d/1KY2pKd7sAoPVxCng0gRf9wSMTWcsXvHY/view?usp=drive_link" TargetMode="External"/><Relationship Id="rId4" Type="http://schemas.openxmlformats.org/officeDocument/2006/relationships/hyperlink" Target="https://drive.google.com/file/d/1ZxahvHgliTJBzsVxXkvLz7DNB7Mqmwjo/view?usp=drive_link" TargetMode="External"/><Relationship Id="rId5" Type="http://schemas.openxmlformats.org/officeDocument/2006/relationships/hyperlink" Target="https://drive.google.com/file/d/1WKJ4LSuTHsn2Ban-Ihu5wmVt3cgAGxgs/view?usp=drive_link" TargetMode="External"/><Relationship Id="rId6" Type="http://schemas.openxmlformats.org/officeDocument/2006/relationships/drawing" Target="../drawings/drawing2.xml"/><Relationship Id="rId8"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7" width="15.25"/>
    <col customWidth="1" hidden="1" min="8" max="15" width="15.25"/>
    <col customWidth="1" min="16" max="17" width="15.25"/>
    <col customWidth="1" hidden="1" min="18" max="20" width="15.25"/>
    <col customWidth="1" min="21" max="34" width="15.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27</v>
      </c>
      <c r="AB1" s="1" t="s">
        <v>29</v>
      </c>
      <c r="AC1" s="1" t="s">
        <v>30</v>
      </c>
      <c r="AD1" s="1" t="s">
        <v>32</v>
      </c>
      <c r="AE1" s="1" t="s">
        <v>34</v>
      </c>
      <c r="AF1" s="1" t="s">
        <v>35</v>
      </c>
      <c r="AG1" s="1" t="s">
        <v>36</v>
      </c>
      <c r="AH1" s="1" t="s">
        <v>37</v>
      </c>
    </row>
    <row r="2">
      <c r="A2" s="4" t="s">
        <v>38</v>
      </c>
      <c r="B2" s="4">
        <v>8.0</v>
      </c>
      <c r="C2" s="4">
        <v>1.0</v>
      </c>
      <c r="D2" s="4" t="s">
        <v>40</v>
      </c>
      <c r="E2" s="4" t="s">
        <v>41</v>
      </c>
      <c r="F2" s="4">
        <v>1.0</v>
      </c>
      <c r="G2" s="4" t="s">
        <v>42</v>
      </c>
      <c r="H2" s="4" t="s">
        <v>43</v>
      </c>
      <c r="I2" s="4" t="s">
        <v>44</v>
      </c>
      <c r="J2" s="5" t="str">
        <f>Legacy_Backup!G2</f>
        <v>Opportunity Spotting</v>
      </c>
      <c r="K2" s="5" t="str">
        <f t="shared" ref="K2:K51" si="1">TEXT(COUNTIF($E$2:E2,E2),"000")</f>
        <v>001</v>
      </c>
      <c r="L2" s="5" t="str">
        <f>Legacy_Backup!H2</f>
        <v>Identify useful opportunities from everyday problems</v>
      </c>
      <c r="M2" s="5" t="str">
        <f>IFERROR(__xludf.DUMMYFUNCTION("IF(REGEXMATCH(UPPER(Legacy_Backup!I2),""KNOW""),""Know"",IF(REGEXMATCH(UPPER(Legacy_Backup!I2),""IMAGINE|INNOVATION""),""Imagine"",""Think""))"),"Think")</f>
        <v>Think</v>
      </c>
      <c r="N2" s="5" t="str">
        <f>IFERROR(__xludf.DUMMYFUNCTION("IF(REGEXMATCH(UPPER(Legacy_Backup!J2),""FUTURE""),""Future-Oriented"",IF(REGEXMATCH(UPPER(Legacy_Backup!J2),""KNOWLEDGE""),""Knowledge-Based"",IF(REGEXMATCH(UPPER(Legacy_Backup!J2),""DECISION""),""Decision-Making"",""Situation-Based"")))"),"Situation-Based")</f>
        <v>Situation-Based</v>
      </c>
      <c r="O2" s="5" t="str">
        <f>IF(UPPER(Legacy_Backup!K2)="HARD","Difficult",PROPER(Legacy_Backup!K2))</f>
        <v>Easy</v>
      </c>
      <c r="P2" s="5" t="str">
        <f>IF(UPPER(Legacy_Backup!O2)="YES","Visual","Text")</f>
        <v>Text</v>
      </c>
      <c r="Q2" s="5" t="str">
        <f>PROPER(Legacy_Backup!O2)</f>
        <v>No</v>
      </c>
      <c r="R2" s="5" t="str">
        <f>IF(UPPER(Legacy_Backup!O2)="YES",IF(Legacy_Backup!Y2&lt;&gt;"",Legacy_Backup!Y2,"Image required"),"NA")</f>
        <v>NA</v>
      </c>
      <c r="S2" s="5" t="str">
        <f>IF(UPPER(Legacy_Backup!O2)="YES",IF(Legacy_Backup!Z2&lt;&gt;"",Legacy_Backup!Z2,"Prompt required"),"NA")</f>
        <v>NA</v>
      </c>
      <c r="T2" s="5" t="str">
        <f>IF(Legacy_Backup!L2&lt;&gt;"",PROPER(Legacy_Backup!L2),"Apply")</f>
        <v>Apply</v>
      </c>
      <c r="U2" s="5" t="str">
        <f>Legacy_Backup!P2</f>
        <v>A school canteen has long queues and students often miss part of lunch. Which idea best turns this problem into an opportunity?</v>
      </c>
      <c r="V2" s="5" t="str">
        <f>Legacy_Backup!Q2</f>
        <v>Start a pre-order system for students</v>
      </c>
      <c r="W2" s="5" t="str">
        <f>Legacy_Backup!R2</f>
        <v>Sell more items only after lunch</v>
      </c>
      <c r="X2" s="5" t="str">
        <f>Legacy_Backup!S2</f>
        <v>Ask students to bring food every day</v>
      </c>
      <c r="Y2" s="5" t="str">
        <f>Legacy_Backup!T2</f>
        <v>Close one counter to reduce confusion</v>
      </c>
      <c r="Z2" s="5" t="str">
        <f>Legacy_Backup!U2</f>
        <v>A</v>
      </c>
      <c r="AA2" s="5" t="str">
        <f>Legacy_Backup!W2</f>
        <v>Start a pre-order system with fixed pickup slots is the best choice because it directly applies opportunity spotting to the situation and addresses the stated need with a practical, responsible action.</v>
      </c>
      <c r="AB2" s="5" t="str">
        <f>Legacy_Backup!X2</f>
        <v>Builds practical entrepreneurship for future study, work and responsible citizenship.</v>
      </c>
      <c r="AC2" s="5" t="str">
        <f>Legacy_Backup!M2</f>
        <v>Entrepreneurship</v>
      </c>
      <c r="AD2" s="5" t="str">
        <f>IF(UPPER(Legacy_Backup!O2)="YES",A2&amp;".png","NA")</f>
        <v>NA</v>
      </c>
      <c r="AE2" s="5" t="str">
        <f>Legacy_Backup!AB2</f>
        <v/>
      </c>
      <c r="AF2" s="5"/>
      <c r="AG2" s="5"/>
      <c r="AH2" s="5" t="str">
        <f>IF(LEFT(Legacy_Backup!AC2,1)="v",Legacy_Backup!AC2,"v"&amp;Legacy_Backup!AC2)</f>
        <v>v1.0</v>
      </c>
    </row>
    <row r="3">
      <c r="A3" s="4" t="s">
        <v>88</v>
      </c>
      <c r="B3" s="4">
        <v>8.0</v>
      </c>
      <c r="C3" s="4">
        <v>1.0</v>
      </c>
      <c r="D3" s="4" t="s">
        <v>40</v>
      </c>
      <c r="E3" s="4" t="s">
        <v>41</v>
      </c>
      <c r="F3" s="4">
        <v>6.0</v>
      </c>
      <c r="G3" s="4" t="s">
        <v>92</v>
      </c>
      <c r="H3" s="4" t="s">
        <v>94</v>
      </c>
      <c r="I3" s="4" t="s">
        <v>95</v>
      </c>
      <c r="J3" s="5" t="str">
        <f>Legacy_Backup!G3</f>
        <v>Customer Understanding</v>
      </c>
      <c r="K3" s="5" t="str">
        <f t="shared" si="1"/>
        <v>002</v>
      </c>
      <c r="L3" s="5" t="str">
        <f>Legacy_Backup!H3</f>
        <v>Use customer feedback before designing a solution</v>
      </c>
      <c r="M3" s="5" t="str">
        <f>IFERROR(__xludf.DUMMYFUNCTION("IF(REGEXMATCH(UPPER(Legacy_Backup!I3),""KNOW""),""Know"",IF(REGEXMATCH(UPPER(Legacy_Backup!I3),""IMAGINE|INNOVATION""),""Imagine"",""Think""))"),"Think")</f>
        <v>Think</v>
      </c>
      <c r="N3" s="5" t="str">
        <f>IFERROR(__xludf.DUMMYFUNCTION("IF(REGEXMATCH(UPPER(Legacy_Backup!J3),""FUTURE""),""Future-Oriented"",IF(REGEXMATCH(UPPER(Legacy_Backup!J3),""KNOWLEDGE""),""Knowledge-Based"",IF(REGEXMATCH(UPPER(Legacy_Backup!J3),""DECISION""),""Decision-Making"",""Situation-Based"")))"),"Situation-Based")</f>
        <v>Situation-Based</v>
      </c>
      <c r="O3" s="5" t="str">
        <f>IF(UPPER(Legacy_Backup!K3)="HARD","Difficult",PROPER(Legacy_Backup!K3))</f>
        <v>Easy</v>
      </c>
      <c r="P3" s="5" t="str">
        <f>IF(UPPER(Legacy_Backup!O3)="YES","Visual","Text")</f>
        <v>Text</v>
      </c>
      <c r="Q3" s="5" t="str">
        <f>PROPER(Legacy_Backup!O3)</f>
        <v>No</v>
      </c>
      <c r="R3" s="5" t="str">
        <f>IF(UPPER(Legacy_Backup!O3)="YES",IF(Legacy_Backup!Y3&lt;&gt;"",Legacy_Backup!Y3,"Image required"),"NA")</f>
        <v>NA</v>
      </c>
      <c r="S3" s="5" t="str">
        <f>IF(UPPER(Legacy_Backup!O3)="YES",IF(Legacy_Backup!Z3&lt;&gt;"",Legacy_Backup!Z3,"Prompt required"),"NA")</f>
        <v>NA</v>
      </c>
      <c r="T3" s="5" t="str">
        <f>IF(Legacy_Backup!L3&lt;&gt;"",PROPER(Legacy_Backup!L3),"Apply")</f>
        <v>Analyze</v>
      </c>
      <c r="U3" s="5" t="str">
        <f>Legacy_Backup!P3</f>
        <v>Riya wants to sell reusable water bottles at school. What should she do first?</v>
      </c>
      <c r="V3" s="5" t="str">
        <f>Legacy_Backup!Q3</f>
        <v>Order 200 bottles in her favourite colour</v>
      </c>
      <c r="W3" s="5" t="str">
        <f>Legacy_Backup!R3</f>
        <v>Ask students about their preferences /liking</v>
      </c>
      <c r="X3" s="5" t="str">
        <f>Legacy_Backup!S3</f>
        <v>Copy the most expensive bottle online</v>
      </c>
      <c r="Y3" s="5" t="str">
        <f>Legacy_Backup!T3</f>
        <v>Print posters before deciding the product</v>
      </c>
      <c r="Z3" s="5" t="str">
        <f>Legacy_Backup!U3</f>
        <v>B</v>
      </c>
      <c r="AA3" s="5" t="str">
        <f>Legacy_Backup!W3</f>
        <v>Ask students about size, price and features they prefer is the best choice because it directly applies customer understanding to the situation and addresses the stated need with a practical, responsible action.</v>
      </c>
      <c r="AB3" s="5" t="str">
        <f>Legacy_Backup!X3</f>
        <v>Builds practical entrepreneurship for future study, work and responsible citizenship.</v>
      </c>
      <c r="AC3" s="5" t="str">
        <f>Legacy_Backup!M3</f>
        <v>Entrepreneurship</v>
      </c>
      <c r="AD3" s="5" t="str">
        <f>IF(UPPER(Legacy_Backup!O3)="YES",A3&amp;".png","NA")</f>
        <v>NA</v>
      </c>
      <c r="AE3" s="5" t="str">
        <f>Legacy_Backup!AB3</f>
        <v/>
      </c>
      <c r="AF3" s="5"/>
      <c r="AG3" s="5"/>
      <c r="AH3" s="5" t="str">
        <f>IF(LEFT(Legacy_Backup!AC3,1)="v",Legacy_Backup!AC3,"v"&amp;Legacy_Backup!AC3)</f>
        <v>v1.0</v>
      </c>
    </row>
    <row r="4">
      <c r="A4" s="4" t="s">
        <v>144</v>
      </c>
      <c r="B4" s="4">
        <v>8.0</v>
      </c>
      <c r="C4" s="4">
        <v>1.0</v>
      </c>
      <c r="D4" s="4" t="s">
        <v>40</v>
      </c>
      <c r="E4" s="4" t="s">
        <v>41</v>
      </c>
      <c r="F4" s="4">
        <v>4.0</v>
      </c>
      <c r="G4" s="4" t="s">
        <v>81</v>
      </c>
      <c r="H4" s="4" t="s">
        <v>147</v>
      </c>
      <c r="I4" s="4" t="s">
        <v>149</v>
      </c>
      <c r="J4" s="5" t="str">
        <f>Legacy_Backup!G4</f>
        <v>Planning and Resource Use</v>
      </c>
      <c r="K4" s="5" t="str">
        <f t="shared" si="1"/>
        <v>003</v>
      </c>
      <c r="L4" s="5" t="str">
        <f>Legacy_Backup!H4</f>
        <v>Select a plan that uses limited resources wisely</v>
      </c>
      <c r="M4" s="5" t="str">
        <f>IFERROR(__xludf.DUMMYFUNCTION("IF(REGEXMATCH(UPPER(Legacy_Backup!I4),""KNOW""),""Know"",IF(REGEXMATCH(UPPER(Legacy_Backup!I4),""IMAGINE|INNOVATION""),""Imagine"",""Think""))"),"Think")</f>
        <v>Think</v>
      </c>
      <c r="N4" s="5" t="str">
        <f>IFERROR(__xludf.DUMMYFUNCTION("IF(REGEXMATCH(UPPER(Legacy_Backup!J4),""FUTURE""),""Future-Oriented"",IF(REGEXMATCH(UPPER(Legacy_Backup!J4),""KNOWLEDGE""),""Knowledge-Based"",IF(REGEXMATCH(UPPER(Legacy_Backup!J4),""DECISION""),""Decision-Making"",""Situation-Based"")))"),"Situation-Based")</f>
        <v>Situation-Based</v>
      </c>
      <c r="O4" s="5" t="str">
        <f>IF(UPPER(Legacy_Backup!K4)="HARD","Difficult",PROPER(Legacy_Backup!K4))</f>
        <v>Easy</v>
      </c>
      <c r="P4" s="5" t="str">
        <f>IF(UPPER(Legacy_Backup!O4)="YES","Visual","Text")</f>
        <v>Visual</v>
      </c>
      <c r="Q4" s="5" t="str">
        <f>PROPER(Legacy_Backup!O4)</f>
        <v>Yes</v>
      </c>
      <c r="R4" s="5" t="str">
        <f>IF(UPPER(Legacy_Backup!O4)="YES",IF(Legacy_Backup!Y4&lt;&gt;"",Legacy_Backup!Y4,"Image required"),"NA")</f>
        <v>A clean Grade 8 educational table or chart illustrating: Four teams need the art room. The booking chart shows: Monday 2 teams, Tuesday 1, Wednesday 0, Thursday 3. Which day gives a new team the best chance to work without delay?</v>
      </c>
      <c r="S4" s="5" t="str">
        <f>IF(UPPER(Legacy_Backup!O4)="YES",IF(Legacy_Backup!Z4&lt;&gt;"",Legacy_Backup!Z4,"Prompt required"),"NA")</f>
        <v>Create a clear, age-appropriate educational visual for Grade 8. Show only the information needed for this MCQ: Four teams need the art room. The booking chart shows: Monday 2 teams, Tuesday 1, Wednesday 0, Thursday 3. Which day gives a new team the best chance to work without delay? Use a light background, simple labels, high contrast, no answer clues, landscape 4:3.</v>
      </c>
      <c r="T4" s="5" t="str">
        <f>IF(Legacy_Backup!L4&lt;&gt;"",PROPER(Legacy_Backup!L4),"Apply")</f>
        <v>Analyze</v>
      </c>
      <c r="U4" s="5" t="str">
        <f>Legacy_Backup!P4</f>
        <v>Four teams need the art room. Refer to the chart showing booking data. Which day gives a new team the best chance to work without delay?</v>
      </c>
      <c r="V4" s="5" t="str">
        <f>Legacy_Backup!Q4</f>
        <v>Monday</v>
      </c>
      <c r="W4" s="5" t="str">
        <f>Legacy_Backup!R4</f>
        <v>Tuesday</v>
      </c>
      <c r="X4" s="5" t="str">
        <f>Legacy_Backup!S4</f>
        <v>Wednesday</v>
      </c>
      <c r="Y4" s="5" t="str">
        <f>Legacy_Backup!T4</f>
        <v>Thursday</v>
      </c>
      <c r="Z4" s="5" t="str">
        <f>Legacy_Backup!U4</f>
        <v>C</v>
      </c>
      <c r="AA4" s="5" t="str">
        <f>Legacy_Backup!W4</f>
        <v>Wednesday is the best choice because it directly applies planning and resource use to the situation and addresses the stated need with a practical, responsible action.</v>
      </c>
      <c r="AB4" s="5" t="str">
        <f>Legacy_Backup!X4</f>
        <v>Builds practical entrepreneurship for future study, work and responsible citizenship.</v>
      </c>
      <c r="AC4" s="5" t="str">
        <f>Legacy_Backup!M4</f>
        <v>Entrepreneurship</v>
      </c>
      <c r="AD4" s="5" t="str">
        <f>IF(UPPER(Legacy_Backup!O4)="YES",A4&amp;".png","NA")</f>
        <v>08_EM_PR_003.png</v>
      </c>
      <c r="AE4" s="5" t="str">
        <f>Legacy_Backup!AB4</f>
        <v/>
      </c>
      <c r="AF4" s="5"/>
      <c r="AG4" s="5"/>
      <c r="AH4" s="5" t="str">
        <f>IF(LEFT(Legacy_Backup!AC4,1)="v",Legacy_Backup!AC4,"v"&amp;Legacy_Backup!AC4)</f>
        <v>v1.0</v>
      </c>
    </row>
    <row r="5">
      <c r="A5" s="4" t="s">
        <v>196</v>
      </c>
      <c r="B5" s="4">
        <v>8.0</v>
      </c>
      <c r="C5" s="4">
        <v>1.0</v>
      </c>
      <c r="D5" s="4" t="s">
        <v>40</v>
      </c>
      <c r="E5" s="4" t="s">
        <v>41</v>
      </c>
      <c r="F5" s="4">
        <v>6.0</v>
      </c>
      <c r="G5" s="4" t="s">
        <v>92</v>
      </c>
      <c r="H5" s="4" t="s">
        <v>94</v>
      </c>
      <c r="I5" s="4" t="s">
        <v>198</v>
      </c>
      <c r="J5" s="5" t="str">
        <f>Legacy_Backup!G5</f>
        <v>Value Proposition</v>
      </c>
      <c r="K5" s="5" t="str">
        <f t="shared" si="1"/>
        <v>004</v>
      </c>
      <c r="L5" s="5" t="str">
        <f>Legacy_Backup!H5</f>
        <v>Connect a product benefit to a customer need</v>
      </c>
      <c r="M5" s="5" t="str">
        <f>IFERROR(__xludf.DUMMYFUNCTION("IF(REGEXMATCH(UPPER(Legacy_Backup!I5),""KNOW""),""Know"",IF(REGEXMATCH(UPPER(Legacy_Backup!I5),""IMAGINE|INNOVATION""),""Imagine"",""Think""))"),"Think")</f>
        <v>Think</v>
      </c>
      <c r="N5" s="5" t="str">
        <f>IFERROR(__xludf.DUMMYFUNCTION("IF(REGEXMATCH(UPPER(Legacy_Backup!J5),""FUTURE""),""Future-Oriented"",IF(REGEXMATCH(UPPER(Legacy_Backup!J5),""KNOWLEDGE""),""Knowledge-Based"",IF(REGEXMATCH(UPPER(Legacy_Backup!J5),""DECISION""),""Decision-Making"",""Situation-Based"")))"),"Situation-Based")</f>
        <v>Situation-Based</v>
      </c>
      <c r="O5" s="5" t="str">
        <f>IF(UPPER(Legacy_Backup!K5)="HARD","Difficult",PROPER(Legacy_Backup!K5))</f>
        <v>Easy</v>
      </c>
      <c r="P5" s="5" t="str">
        <f>IF(UPPER(Legacy_Backup!O5)="YES","Visual","Text")</f>
        <v>Visual</v>
      </c>
      <c r="Q5" s="5" t="str">
        <f>PROPER(Legacy_Backup!O5)</f>
        <v>Yes</v>
      </c>
      <c r="R5" s="5" t="str">
        <f>IF(UPPER(Legacy_Backup!O5)="YES",IF(Legacy_Backup!Y5&lt;&gt;"",Legacy_Backup!Y5,"Image required"),"NA")</f>
        <v>A clean Grade 8 educational real-life scene illustrating: An image shows two lunch boxes: Box P is stylish but leaks; Box Q is simple, leak-proof and easy to clean. Which is the stronger value proposition for students?</v>
      </c>
      <c r="S5" s="5" t="str">
        <f>IF(UPPER(Legacy_Backup!O5)="YES",IF(Legacy_Backup!Z5&lt;&gt;"",Legacy_Backup!Z5,"Prompt required"),"NA")</f>
        <v>Create a clear, age-appropriate educational visual for Grade 8. Show only the information needed for this MCQ: An image shows two lunch boxes: Box P is stylish but leaks; Box Q is simple, leak-proof and easy to clean. Which is the stronger value proposition for students? Use a light background, simple labels, high contrast, no answer clues, landscape 4:3.</v>
      </c>
      <c r="T5" s="5" t="str">
        <f>IF(Legacy_Backup!L5&lt;&gt;"",PROPER(Legacy_Backup!L5),"Apply")</f>
        <v>Analyze</v>
      </c>
      <c r="U5" s="5" t="str">
        <f>Legacy_Backup!P5</f>
        <v>An image shows two lunch boxes: Box P &amp;  Box Q . Which is the stronger value proposition for students to use?</v>
      </c>
      <c r="V5" s="5" t="str">
        <f>Legacy_Backup!Q5</f>
        <v>Box P, because style is always most important</v>
      </c>
      <c r="W5" s="5" t="str">
        <f>Legacy_Backup!R5</f>
        <v>Box P, because cleaning does not matter</v>
      </c>
      <c r="X5" s="5" t="str">
        <f>Legacy_Backup!S5</f>
        <v>Both are equal because they hold food</v>
      </c>
      <c r="Y5" s="5" t="str">
        <f>Legacy_Backup!T5</f>
        <v>Box Q, because it solves practical daily problems of leakage</v>
      </c>
      <c r="Z5" s="5" t="str">
        <f>Legacy_Backup!U5</f>
        <v>D</v>
      </c>
      <c r="AA5" s="5" t="str">
        <f>Legacy_Backup!W5</f>
        <v>Box Q, because it solves practical daily problems is the best choice because it directly applies value proposition to the situation and addresses the stated need with a practical, responsible action.</v>
      </c>
      <c r="AB5" s="5" t="str">
        <f>Legacy_Backup!X5</f>
        <v>Builds practical entrepreneurship for future study, work and responsible citizenship.</v>
      </c>
      <c r="AC5" s="5" t="str">
        <f>Legacy_Backup!M5</f>
        <v>Entrepreneurship</v>
      </c>
      <c r="AD5" s="5" t="str">
        <f>IF(UPPER(Legacy_Backup!O5)="YES",A5&amp;".png","NA")</f>
        <v>08_EM_CE_004.png</v>
      </c>
      <c r="AE5" s="5" t="str">
        <f>Legacy_Backup!AB5</f>
        <v/>
      </c>
      <c r="AF5" s="5"/>
      <c r="AG5" s="5"/>
      <c r="AH5" s="5" t="str">
        <f>IF(LEFT(Legacy_Backup!AC5,1)="v",Legacy_Backup!AC5,"v"&amp;Legacy_Backup!AC5)</f>
        <v>v1.0</v>
      </c>
    </row>
    <row r="6">
      <c r="A6" s="4" t="s">
        <v>226</v>
      </c>
      <c r="B6" s="4">
        <v>8.0</v>
      </c>
      <c r="C6" s="4">
        <v>1.0</v>
      </c>
      <c r="D6" s="4" t="s">
        <v>40</v>
      </c>
      <c r="E6" s="4" t="s">
        <v>41</v>
      </c>
      <c r="F6" s="4">
        <v>3.0</v>
      </c>
      <c r="G6" s="4" t="s">
        <v>228</v>
      </c>
      <c r="H6" s="4" t="s">
        <v>229</v>
      </c>
      <c r="I6" s="4" t="s">
        <v>230</v>
      </c>
      <c r="J6" s="5" t="str">
        <f>Legacy_Backup!G6</f>
        <v>Risk and Decision Making</v>
      </c>
      <c r="K6" s="5" t="str">
        <f t="shared" si="1"/>
        <v>005</v>
      </c>
      <c r="L6" s="5" t="str">
        <f>Legacy_Backup!H6</f>
        <v>Reduce risk through a small test</v>
      </c>
      <c r="M6" s="5" t="str">
        <f>IFERROR(__xludf.DUMMYFUNCTION("IF(REGEXMATCH(UPPER(Legacy_Backup!I6),""KNOW""),""Know"",IF(REGEXMATCH(UPPER(Legacy_Backup!I6),""IMAGINE|INNOVATION""),""Imagine"",""Think""))"),"Think")</f>
        <v>Think</v>
      </c>
      <c r="N6" s="5" t="str">
        <f>IFERROR(__xludf.DUMMYFUNCTION("IF(REGEXMATCH(UPPER(Legacy_Backup!J6),""FUTURE""),""Future-Oriented"",IF(REGEXMATCH(UPPER(Legacy_Backup!J6),""KNOWLEDGE""),""Knowledge-Based"",IF(REGEXMATCH(UPPER(Legacy_Backup!J6),""DECISION""),""Decision-Making"",""Situation-Based"")))"),"Situation-Based")</f>
        <v>Situation-Based</v>
      </c>
      <c r="O6" s="5" t="str">
        <f>IF(UPPER(Legacy_Backup!K6)="HARD","Difficult",PROPER(Legacy_Backup!K6))</f>
        <v>Easy</v>
      </c>
      <c r="P6" s="5" t="str">
        <f>IF(UPPER(Legacy_Backup!O6)="YES","Visual","Text")</f>
        <v>Text</v>
      </c>
      <c r="Q6" s="5" t="str">
        <f>PROPER(Legacy_Backup!O6)</f>
        <v>No</v>
      </c>
      <c r="R6" s="5" t="str">
        <f>IF(UPPER(Legacy_Backup!O6)="YES",IF(Legacy_Backup!Y6&lt;&gt;"",Legacy_Backup!Y6,"Image required"),"NA")</f>
        <v>NA</v>
      </c>
      <c r="S6" s="5" t="str">
        <f>IF(UPPER(Legacy_Backup!O6)="YES",IF(Legacy_Backup!Z6&lt;&gt;"",Legacy_Backup!Z6,"Prompt required"),"NA")</f>
        <v>NA</v>
      </c>
      <c r="T6" s="5" t="str">
        <f>IF(Legacy_Backup!L6&lt;&gt;"",PROPER(Legacy_Backup!L6),"Apply")</f>
        <v>Evaluate</v>
      </c>
      <c r="U6" s="5" t="str">
        <f>Legacy_Backup!P6</f>
        <v>A team can spend its full budget making 100 keychains or first make 10 samples. What is the wiser approach?</v>
      </c>
      <c r="V6" s="5" t="str">
        <f>Legacy_Backup!Q6</f>
        <v>Make 10, collect feedback, then decide</v>
      </c>
      <c r="W6" s="5" t="str">
        <f>Legacy_Backup!R6</f>
        <v>Make 100 immediately to save time</v>
      </c>
      <c r="X6" s="5" t="str">
        <f>Legacy_Backup!S6</f>
        <v>Buy a machine before testing demand</v>
      </c>
      <c r="Y6" s="5" t="str">
        <f>Legacy_Backup!T6</f>
        <v>Avoid making anything until everyone agrees</v>
      </c>
      <c r="Z6" s="5" t="str">
        <f>Legacy_Backup!U6</f>
        <v>A</v>
      </c>
      <c r="AA6" s="5" t="str">
        <f>Legacy_Backup!W6</f>
        <v>Make 10, collect feedback, then decide is the best choice because it directly applies risk and decision making to the situation and addresses the stated need with a practical, responsible action.</v>
      </c>
      <c r="AB6" s="5" t="str">
        <f>Legacy_Backup!X6</f>
        <v>Builds practical entrepreneurship for future study, work and responsible citizenship.</v>
      </c>
      <c r="AC6" s="5" t="str">
        <f>Legacy_Backup!M6</f>
        <v>Entrepreneurship</v>
      </c>
      <c r="AD6" s="5" t="str">
        <f>IF(UPPER(Legacy_Backup!O6)="YES",A6&amp;".png","NA")</f>
        <v>NA</v>
      </c>
      <c r="AE6" s="5" t="str">
        <f>Legacy_Backup!AB6</f>
        <v/>
      </c>
      <c r="AF6" s="5"/>
      <c r="AG6" s="5"/>
      <c r="AH6" s="5" t="str">
        <f>IF(LEFT(Legacy_Backup!AC6,1)="v",Legacy_Backup!AC6,"v"&amp;Legacy_Backup!AC6)</f>
        <v>v1.0</v>
      </c>
    </row>
    <row r="7">
      <c r="A7" s="4" t="s">
        <v>262</v>
      </c>
      <c r="B7" s="4">
        <v>8.0</v>
      </c>
      <c r="C7" s="4">
        <v>1.0</v>
      </c>
      <c r="D7" s="4" t="s">
        <v>40</v>
      </c>
      <c r="E7" s="4" t="s">
        <v>41</v>
      </c>
      <c r="F7" s="4">
        <v>1.0</v>
      </c>
      <c r="G7" s="4" t="s">
        <v>42</v>
      </c>
      <c r="H7" s="4" t="s">
        <v>43</v>
      </c>
      <c r="I7" s="4" t="s">
        <v>266</v>
      </c>
      <c r="J7" s="5" t="str">
        <f>Legacy_Backup!G7</f>
        <v>Product Innovation</v>
      </c>
      <c r="K7" s="5" t="str">
        <f t="shared" si="1"/>
        <v>006</v>
      </c>
      <c r="L7" s="5" t="str">
        <f>Legacy_Backup!H7</f>
        <v>Improve an existing solution for user benefit</v>
      </c>
      <c r="M7" s="5" t="str">
        <f>IFERROR(__xludf.DUMMYFUNCTION("IF(REGEXMATCH(UPPER(Legacy_Backup!I7),""KNOW""),""Know"",IF(REGEXMATCH(UPPER(Legacy_Backup!I7),""IMAGINE|INNOVATION""),""Imagine"",""Think""))"),"Imagine")</f>
        <v>Imagine</v>
      </c>
      <c r="N7" s="5" t="str">
        <f>IFERROR(__xludf.DUMMYFUNCTION("IF(REGEXMATCH(UPPER(Legacy_Backup!J7),""FUTURE""),""Future-Oriented"",IF(REGEXMATCH(UPPER(Legacy_Backup!J7),""KNOWLEDGE""),""Knowledge-Based"",IF(REGEXMATCH(UPPER(Legacy_Backup!J7),""DECISION""),""Decision-Making"",""Situation-Based"")))"),"Situation-Based")</f>
        <v>Situation-Based</v>
      </c>
      <c r="O7" s="5" t="str">
        <f>IF(UPPER(Legacy_Backup!K7)="HARD","Difficult",PROPER(Legacy_Backup!K7))</f>
        <v>Easy</v>
      </c>
      <c r="P7" s="5" t="str">
        <f>IF(UPPER(Legacy_Backup!O7)="YES","Visual","Text")</f>
        <v>Text</v>
      </c>
      <c r="Q7" s="5" t="str">
        <f>PROPER(Legacy_Backup!O7)</f>
        <v>No</v>
      </c>
      <c r="R7" s="5" t="str">
        <f>IF(UPPER(Legacy_Backup!O7)="YES",IF(Legacy_Backup!Y7&lt;&gt;"",Legacy_Backup!Y7,"Image required"),"NA")</f>
        <v>NA</v>
      </c>
      <c r="S7" s="5" t="str">
        <f>IF(UPPER(Legacy_Backup!O7)="YES",IF(Legacy_Backup!Z7&lt;&gt;"",Legacy_Backup!Z7,"Prompt required"),"NA")</f>
        <v>NA</v>
      </c>
      <c r="T7" s="5" t="str">
        <f>IF(Legacy_Backup!L7&lt;&gt;"",PROPER(Legacy_Backup!L7),"Apply")</f>
        <v>Create</v>
      </c>
      <c r="U7" s="5" t="str">
        <f>Legacy_Backup!P7</f>
        <v>Students regularly forget to water classroom plants. Which idea is both innovative and practical?</v>
      </c>
      <c r="V7" s="5" t="str">
        <f>Legacy_Backup!Q7</f>
        <v>A poster saying plants need water</v>
      </c>
      <c r="W7" s="5" t="str">
        <f>Legacy_Backup!R7</f>
        <v>A low-cost moisture (dryness) indicator for soil</v>
      </c>
      <c r="X7" s="5" t="str">
        <f>Legacy_Backup!S7</f>
        <v>Replacing plants with plastic ones</v>
      </c>
      <c r="Y7" s="5" t="str">
        <f>Legacy_Backup!T7</f>
        <v>Asking one student to remember forever</v>
      </c>
      <c r="Z7" s="5" t="str">
        <f>Legacy_Backup!U7</f>
        <v>B</v>
      </c>
      <c r="AA7" s="5" t="str">
        <f>Legacy_Backup!W7</f>
        <v>A low-cost moisture indicator that changes colour when soil is dry is the best choice because it directly applies product innovation to the situation and addresses the stated need with a practical, responsible action.</v>
      </c>
      <c r="AB7" s="5" t="str">
        <f>Legacy_Backup!X7</f>
        <v>Builds practical entrepreneurship for future study, work and responsible citizenship.</v>
      </c>
      <c r="AC7" s="5" t="str">
        <f>Legacy_Backup!M7</f>
        <v>Entrepreneurship</v>
      </c>
      <c r="AD7" s="5" t="str">
        <f>IF(UPPER(Legacy_Backup!O7)="YES",A7&amp;".png","NA")</f>
        <v>NA</v>
      </c>
      <c r="AE7" s="5" t="str">
        <f>Legacy_Backup!AB7</f>
        <v/>
      </c>
      <c r="AF7" s="5"/>
      <c r="AG7" s="5"/>
      <c r="AH7" s="5" t="str">
        <f>IF(LEFT(Legacy_Backup!AC7,1)="v",Legacy_Backup!AC7,"v"&amp;Legacy_Backup!AC7)</f>
        <v>v1.0</v>
      </c>
    </row>
    <row r="8">
      <c r="A8" s="4" t="s">
        <v>291</v>
      </c>
      <c r="B8" s="4">
        <v>8.0</v>
      </c>
      <c r="C8" s="4">
        <v>1.0</v>
      </c>
      <c r="D8" s="4" t="s">
        <v>40</v>
      </c>
      <c r="E8" s="4" t="s">
        <v>41</v>
      </c>
      <c r="F8" s="4">
        <v>7.0</v>
      </c>
      <c r="G8" s="4" t="s">
        <v>294</v>
      </c>
      <c r="H8" s="4" t="s">
        <v>221</v>
      </c>
      <c r="I8" s="4" t="s">
        <v>295</v>
      </c>
      <c r="J8" s="5" t="str">
        <f>Legacy_Backup!G8</f>
        <v>Ethics and Fairness</v>
      </c>
      <c r="K8" s="5" t="str">
        <f t="shared" si="1"/>
        <v>007</v>
      </c>
      <c r="L8" s="5" t="str">
        <f>Legacy_Backup!H8</f>
        <v>Choose honest business behaviour</v>
      </c>
      <c r="M8" s="5" t="str">
        <f>IFERROR(__xludf.DUMMYFUNCTION("IF(REGEXMATCH(UPPER(Legacy_Backup!I8),""KNOW""),""Know"",IF(REGEXMATCH(UPPER(Legacy_Backup!I8),""IMAGINE|INNOVATION""),""Imagine"",""Think""))"),"Think")</f>
        <v>Think</v>
      </c>
      <c r="N8" s="5" t="str">
        <f>IFERROR(__xludf.DUMMYFUNCTION("IF(REGEXMATCH(UPPER(Legacy_Backup!J8),""FUTURE""),""Future-Oriented"",IF(REGEXMATCH(UPPER(Legacy_Backup!J8),""KNOWLEDGE""),""Knowledge-Based"",IF(REGEXMATCH(UPPER(Legacy_Backup!J8),""DECISION""),""Decision-Making"",""Situation-Based"")))"),"Situation-Based")</f>
        <v>Situation-Based</v>
      </c>
      <c r="O8" s="5" t="str">
        <f>IF(UPPER(Legacy_Backup!K8)="HARD","Difficult",PROPER(Legacy_Backup!K8))</f>
        <v>Easy</v>
      </c>
      <c r="P8" s="5" t="str">
        <f>IF(UPPER(Legacy_Backup!O8)="YES","Visual","Text")</f>
        <v>Text</v>
      </c>
      <c r="Q8" s="5" t="str">
        <f>PROPER(Legacy_Backup!O8)</f>
        <v>No</v>
      </c>
      <c r="R8" s="5" t="str">
        <f>IF(UPPER(Legacy_Backup!O8)="YES",IF(Legacy_Backup!Y8&lt;&gt;"",Legacy_Backup!Y8,"Image required"),"NA")</f>
        <v>NA</v>
      </c>
      <c r="S8" s="5" t="str">
        <f>IF(UPPER(Legacy_Backup!O8)="YES",IF(Legacy_Backup!Z8&lt;&gt;"",Legacy_Backup!Z8,"Prompt required"),"NA")</f>
        <v>NA</v>
      </c>
      <c r="T8" s="5" t="str">
        <f>IF(Legacy_Backup!L8&lt;&gt;"",PROPER(Legacy_Backup!L8),"Apply")</f>
        <v>Apply</v>
      </c>
      <c r="U8" s="5" t="str">
        <f>Legacy_Backup!P8</f>
        <v>A seller notices that one batch of notebooks has weak binding. What should the seller do?</v>
      </c>
      <c r="V8" s="5" t="str">
        <f>Legacy_Backup!Q8</f>
        <v>Hide the problem with new covers</v>
      </c>
      <c r="W8" s="5" t="str">
        <f>Legacy_Backup!R8</f>
        <v>Sell them quickly to younger students</v>
      </c>
      <c r="X8" s="5" t="str">
        <f>Legacy_Backup!S8</f>
        <v>Tell buyers and replace the faulty notebooks</v>
      </c>
      <c r="Y8" s="5" t="str">
        <f>Legacy_Backup!T8</f>
        <v>Increase the price to appear premium</v>
      </c>
      <c r="Z8" s="5" t="str">
        <f>Legacy_Backup!U8</f>
        <v>C</v>
      </c>
      <c r="AA8" s="5" t="str">
        <f>Legacy_Backup!W8</f>
        <v>Tell buyers and replace or discount the faulty notebooks is the best choice because it directly applies ethics and fairness to the situation and addresses the stated need with a practical, responsible action.</v>
      </c>
      <c r="AB8" s="5" t="str">
        <f>Legacy_Backup!X8</f>
        <v>Builds practical entrepreneurship for future study, work and responsible citizenship.</v>
      </c>
      <c r="AC8" s="5" t="str">
        <f>Legacy_Backup!M8</f>
        <v>Entrepreneurship</v>
      </c>
      <c r="AD8" s="5" t="str">
        <f>IF(UPPER(Legacy_Backup!O8)="YES",A8&amp;".png","NA")</f>
        <v>NA</v>
      </c>
      <c r="AE8" s="5" t="str">
        <f>Legacy_Backup!AB8</f>
        <v/>
      </c>
      <c r="AF8" s="5"/>
      <c r="AG8" s="5"/>
      <c r="AH8" s="5" t="str">
        <f>IF(LEFT(Legacy_Backup!AC8,1)="v",Legacy_Backup!AC8,"v"&amp;Legacy_Backup!AC8)</f>
        <v>v1.0</v>
      </c>
    </row>
    <row r="9">
      <c r="A9" s="4" t="s">
        <v>330</v>
      </c>
      <c r="B9" s="4">
        <v>8.0</v>
      </c>
      <c r="C9" s="4">
        <v>1.0</v>
      </c>
      <c r="D9" s="4" t="s">
        <v>40</v>
      </c>
      <c r="E9" s="4" t="s">
        <v>41</v>
      </c>
      <c r="F9" s="4">
        <v>9.0</v>
      </c>
      <c r="G9" s="4" t="s">
        <v>332</v>
      </c>
      <c r="H9" s="4" t="s">
        <v>333</v>
      </c>
      <c r="I9" s="4" t="s">
        <v>334</v>
      </c>
      <c r="J9" s="5" t="str">
        <f>Legacy_Backup!G9</f>
        <v>Pricing and Profit</v>
      </c>
      <c r="K9" s="5" t="str">
        <f t="shared" si="1"/>
        <v>008</v>
      </c>
      <c r="L9" s="5" t="str">
        <f>Legacy_Backup!H9</f>
        <v>Choose a price using cost and customer value</v>
      </c>
      <c r="M9" s="5" t="str">
        <f>IFERROR(__xludf.DUMMYFUNCTION("IF(REGEXMATCH(UPPER(Legacy_Backup!I9),""KNOW""),""Know"",IF(REGEXMATCH(UPPER(Legacy_Backup!I9),""IMAGINE|INNOVATION""),""Imagine"",""Think""))"),"Think")</f>
        <v>Think</v>
      </c>
      <c r="N9" s="5" t="str">
        <f>IFERROR(__xludf.DUMMYFUNCTION("IF(REGEXMATCH(UPPER(Legacy_Backup!J9),""FUTURE""),""Future-Oriented"",IF(REGEXMATCH(UPPER(Legacy_Backup!J9),""KNOWLEDGE""),""Knowledge-Based"",IF(REGEXMATCH(UPPER(Legacy_Backup!J9),""DECISION""),""Decision-Making"",""Situation-Based"")))"),"Situation-Based")</f>
        <v>Situation-Based</v>
      </c>
      <c r="O9" s="5" t="str">
        <f>IF(UPPER(Legacy_Backup!K9)="HARD","Difficult",PROPER(Legacy_Backup!K9))</f>
        <v>Easy</v>
      </c>
      <c r="P9" s="5" t="str">
        <f>IF(UPPER(Legacy_Backup!O9)="YES","Visual","Text")</f>
        <v>Text</v>
      </c>
      <c r="Q9" s="5" t="str">
        <f>PROPER(Legacy_Backup!O9)</f>
        <v>No</v>
      </c>
      <c r="R9" s="5" t="str">
        <f>IF(UPPER(Legacy_Backup!O9)="YES",IF(Legacy_Backup!Y9&lt;&gt;"",Legacy_Backup!Y9,"Image required"),"NA")</f>
        <v>NA</v>
      </c>
      <c r="S9" s="5" t="str">
        <f>IF(UPPER(Legacy_Backup!O9)="YES",IF(Legacy_Backup!Z9&lt;&gt;"",Legacy_Backup!Z9,"Prompt required"),"NA")</f>
        <v>NA</v>
      </c>
      <c r="T9" s="5" t="str">
        <f>IF(Legacy_Backup!L9&lt;&gt;"",PROPER(Legacy_Backup!L9),"Apply")</f>
        <v>Analyze</v>
      </c>
      <c r="U9" s="5" t="str">
        <f>Legacy_Backup!P9</f>
        <v>A bookmark costs ₹12 to make. Students say they would comfortably pay ₹20. Which price is most reasonable for a small profit?</v>
      </c>
      <c r="V9" s="5" t="str">
        <f>Legacy_Backup!Q9</f>
        <v>₹8</v>
      </c>
      <c r="W9" s="5" t="str">
        <f>Legacy_Backup!R9</f>
        <v>₹12</v>
      </c>
      <c r="X9" s="5" t="str">
        <f>Legacy_Backup!S9</f>
        <v>₹40</v>
      </c>
      <c r="Y9" s="5" t="str">
        <f>Legacy_Backup!T9</f>
        <v>₹18</v>
      </c>
      <c r="Z9" s="5" t="str">
        <f>Legacy_Backup!U9</f>
        <v>D</v>
      </c>
      <c r="AA9" s="5" t="str">
        <f>Legacy_Backup!W9</f>
        <v>₹18 is the best choice because it directly applies pricing and profit to the situation and addresses the stated need with a practical, responsible action.</v>
      </c>
      <c r="AB9" s="5" t="str">
        <f>Legacy_Backup!X9</f>
        <v>Builds practical entrepreneurship for future study, work and responsible citizenship.</v>
      </c>
      <c r="AC9" s="5" t="str">
        <f>Legacy_Backup!M9</f>
        <v>Entrepreneurship</v>
      </c>
      <c r="AD9" s="5" t="str">
        <f>IF(UPPER(Legacy_Backup!O9)="YES",A9&amp;".png","NA")</f>
        <v>NA</v>
      </c>
      <c r="AE9" s="5" t="str">
        <f>Legacy_Backup!AB9</f>
        <v/>
      </c>
      <c r="AF9" s="5"/>
      <c r="AG9" s="5"/>
      <c r="AH9" s="5" t="str">
        <f>IF(LEFT(Legacy_Backup!AC9,1)="v",Legacy_Backup!AC9,"v"&amp;Legacy_Backup!AC9)</f>
        <v>v1.0</v>
      </c>
    </row>
    <row r="10">
      <c r="A10" s="4" t="s">
        <v>356</v>
      </c>
      <c r="B10" s="4">
        <v>8.0</v>
      </c>
      <c r="C10" s="4">
        <v>1.0</v>
      </c>
      <c r="D10" s="4" t="s">
        <v>40</v>
      </c>
      <c r="E10" s="4" t="s">
        <v>41</v>
      </c>
      <c r="F10" s="4">
        <v>5.0</v>
      </c>
      <c r="G10" s="4" t="s">
        <v>164</v>
      </c>
      <c r="H10" s="4" t="s">
        <v>360</v>
      </c>
      <c r="I10" s="4" t="s">
        <v>362</v>
      </c>
      <c r="J10" s="5" t="str">
        <f>Legacy_Backup!G10</f>
        <v>Teamwork and Communication</v>
      </c>
      <c r="K10" s="5" t="str">
        <f t="shared" si="1"/>
        <v>009</v>
      </c>
      <c r="L10" s="5" t="str">
        <f>Legacy_Backup!H10</f>
        <v>Assign work according to team strengths</v>
      </c>
      <c r="M10" s="5" t="str">
        <f>IFERROR(__xludf.DUMMYFUNCTION("IF(REGEXMATCH(UPPER(Legacy_Backup!I10),""KNOW""),""Know"",IF(REGEXMATCH(UPPER(Legacy_Backup!I10),""IMAGINE|INNOVATION""),""Imagine"",""Think""))"),"Think")</f>
        <v>Think</v>
      </c>
      <c r="N10" s="5" t="str">
        <f>IFERROR(__xludf.DUMMYFUNCTION("IF(REGEXMATCH(UPPER(Legacy_Backup!J10),""FUTURE""),""Future-Oriented"",IF(REGEXMATCH(UPPER(Legacy_Backup!J10),""KNOWLEDGE""),""Knowledge-Based"",IF(REGEXMATCH(UPPER(Legacy_Backup!J10),""DECISION""),""Decision-Making"",""Situation-Based"")))"),"Situation-Based")</f>
        <v>Situation-Based</v>
      </c>
      <c r="O10" s="5" t="str">
        <f>IF(UPPER(Legacy_Backup!K10)="HARD","Difficult",PROPER(Legacy_Backup!K10))</f>
        <v>Easy</v>
      </c>
      <c r="P10" s="5" t="str">
        <f>IF(UPPER(Legacy_Backup!O10)="YES","Visual","Text")</f>
        <v>Visual</v>
      </c>
      <c r="Q10" s="5" t="str">
        <f>PROPER(Legacy_Backup!O10)</f>
        <v>Yes</v>
      </c>
      <c r="R10" s="5" t="str">
        <f>IF(UPPER(Legacy_Backup!O10)="YES",IF(Legacy_Backup!Y10&lt;&gt;"",Legacy_Backup!Y10,"Image required"),"NA")</f>
        <v>A clean Grade 8 educational table or chart illustrating: The team chart shows: Aman—drawing, Beena—speaking, Charu—calculations, Dev—organising. Who should present the final pitch?</v>
      </c>
      <c r="S10" s="5" t="str">
        <f>IF(UPPER(Legacy_Backup!O10)="YES",IF(Legacy_Backup!Z10&lt;&gt;"",Legacy_Backup!Z10,"Prompt required"),"NA")</f>
        <v>Create a clear, age-appropriate educational visual for Grade 8. Show only the information needed for this MCQ: The team chart shows: Aman—drawing, Beena—speaking, Charu—calculations, Dev—organising. Who should present the final pitch? Use a light background, simple labels, high contrast, no answer clues, landscape 4:3.</v>
      </c>
      <c r="T10" s="5" t="str">
        <f>IF(Legacy_Backup!L10&lt;&gt;"",PROPER(Legacy_Backup!L10),"Apply")</f>
        <v>Analyze</v>
      </c>
      <c r="U10" s="5" t="str">
        <f>Legacy_Backup!P10</f>
        <v>The team chart shows: Aman—drawing, Beena—speaking, Charu—calculations, Dev—organising. Who should present the final pitch?</v>
      </c>
      <c r="V10" s="5" t="str">
        <f>Legacy_Backup!Q10</f>
        <v>Beena</v>
      </c>
      <c r="W10" s="5" t="str">
        <f>Legacy_Backup!R10</f>
        <v>Aman</v>
      </c>
      <c r="X10" s="5" t="str">
        <f>Legacy_Backup!S10</f>
        <v>Charu</v>
      </c>
      <c r="Y10" s="5" t="str">
        <f>Legacy_Backup!T10</f>
        <v>Dev</v>
      </c>
      <c r="Z10" s="5" t="str">
        <f>Legacy_Backup!U10</f>
        <v>A</v>
      </c>
      <c r="AA10" s="5" t="str">
        <f>Legacy_Backup!W10</f>
        <v>Beena is the best choice because it directly applies teamwork and communication to the situation and addresses the stated need with a practical, responsible action.</v>
      </c>
      <c r="AB10" s="5" t="str">
        <f>Legacy_Backup!X10</f>
        <v>Builds practical entrepreneurship for future study, work and responsible citizenship.</v>
      </c>
      <c r="AC10" s="5" t="str">
        <f>Legacy_Backup!M10</f>
        <v>Entrepreneurship</v>
      </c>
      <c r="AD10" s="5" t="str">
        <f>IF(UPPER(Legacy_Backup!O10)="YES",A10&amp;".png","NA")</f>
        <v>08_EM_TC_009.png</v>
      </c>
      <c r="AE10" s="5" t="str">
        <f>Legacy_Backup!AB10</f>
        <v/>
      </c>
      <c r="AF10" s="5"/>
      <c r="AG10" s="5"/>
      <c r="AH10" s="5" t="str">
        <f>IF(LEFT(Legacy_Backup!AC10,1)="v",Legacy_Backup!AC10,"v"&amp;Legacy_Backup!AC10)</f>
        <v>v1.0</v>
      </c>
    </row>
    <row r="11">
      <c r="A11" s="4" t="s">
        <v>385</v>
      </c>
      <c r="B11" s="4">
        <v>8.0</v>
      </c>
      <c r="C11" s="4">
        <v>1.0</v>
      </c>
      <c r="D11" s="4" t="s">
        <v>40</v>
      </c>
      <c r="E11" s="4" t="s">
        <v>41</v>
      </c>
      <c r="F11" s="4">
        <v>2.0</v>
      </c>
      <c r="G11" s="4" t="s">
        <v>177</v>
      </c>
      <c r="H11" s="4" t="s">
        <v>387</v>
      </c>
      <c r="I11" s="4" t="s">
        <v>388</v>
      </c>
      <c r="J11" s="5" t="str">
        <f>Legacy_Backup!G11</f>
        <v>Ownership and Initiative</v>
      </c>
      <c r="K11" s="5" t="str">
        <f t="shared" si="1"/>
        <v>010</v>
      </c>
      <c r="L11" s="5" t="str">
        <f>Legacy_Backup!H11</f>
        <v>Demonstrate initiative when a plan faces a barrier</v>
      </c>
      <c r="M11" s="5" t="str">
        <f>IFERROR(__xludf.DUMMYFUNCTION("IF(REGEXMATCH(UPPER(Legacy_Backup!I11),""KNOW""),""Know"",IF(REGEXMATCH(UPPER(Legacy_Backup!I11),""IMAGINE|INNOVATION""),""Imagine"",""Think""))"),"Think")</f>
        <v>Think</v>
      </c>
      <c r="N11" s="5" t="str">
        <f>IFERROR(__xludf.DUMMYFUNCTION("IF(REGEXMATCH(UPPER(Legacy_Backup!J11),""FUTURE""),""Future-Oriented"",IF(REGEXMATCH(UPPER(Legacy_Backup!J11),""KNOWLEDGE""),""Knowledge-Based"",IF(REGEXMATCH(UPPER(Legacy_Backup!J11),""DECISION""),""Decision-Making"",""Situation-Based"")))"),"Situation-Based")</f>
        <v>Situation-Based</v>
      </c>
      <c r="O11" s="5" t="str">
        <f>IF(UPPER(Legacy_Backup!K11)="HARD","Difficult",PROPER(Legacy_Backup!K11))</f>
        <v>Easy</v>
      </c>
      <c r="P11" s="5" t="str">
        <f>IF(UPPER(Legacy_Backup!O11)="YES","Visual","Text")</f>
        <v>Visual</v>
      </c>
      <c r="Q11" s="5" t="str">
        <f>PROPER(Legacy_Backup!O11)</f>
        <v>Yes</v>
      </c>
      <c r="R11" s="5" t="str">
        <f>IF(UPPER(Legacy_Backup!O11)="YES",IF(Legacy_Backup!Y11&lt;&gt;"",Legacy_Backup!Y11,"Image required"),"NA")</f>
        <v>A clean Grade 8 educational real-life scene illustrating: A venue cancels one day before a student sale. What should the team leader do first?</v>
      </c>
      <c r="S11" s="5" t="str">
        <f>IF(UPPER(Legacy_Backup!O11)="YES",IF(Legacy_Backup!Z11&lt;&gt;"",Legacy_Backup!Z11,"Prompt required"),"NA")</f>
        <v>Create a clear, age-appropriate educational visual for Grade 8. Show only the information needed for this MCQ: A venue cancels one day before a student sale. What should the team leader do first? Use a light background, simple labels, high contrast, no answer clues, landscape 4:3.</v>
      </c>
      <c r="T11" s="5" t="str">
        <f>IF(Legacy_Backup!L11&lt;&gt;"",PROPER(Legacy_Backup!L11),"Apply")</f>
        <v>Analyze</v>
      </c>
      <c r="U11" s="5" t="str">
        <f>Legacy_Backup!P11</f>
        <v>A venue cancels one day before a student sale. What should the team leader do first?</v>
      </c>
      <c r="V11" s="5" t="str">
        <f>Legacy_Backup!Q11</f>
        <v>Wait for someone else to solve it</v>
      </c>
      <c r="W11" s="5" t="str">
        <f>Legacy_Backup!R11</f>
        <v>Quickly identify another safe venue </v>
      </c>
      <c r="X11" s="5" t="str">
        <f>Legacy_Backup!S11</f>
        <v>Cancel without telling customers</v>
      </c>
      <c r="Y11" s="5" t="str">
        <f>Legacy_Backup!T11</f>
        <v>Blame the venue online</v>
      </c>
      <c r="Z11" s="5" t="str">
        <f>Legacy_Backup!U11</f>
        <v>B</v>
      </c>
      <c r="AA11" s="5" t="str">
        <f>Legacy_Backup!W11</f>
        <v>Quickly identify another safe venue and inform everyone is the best choice because it directly applies ownership and initiative to the situation and addresses the stated need with a practical, responsible action.</v>
      </c>
      <c r="AB11" s="5" t="str">
        <f>Legacy_Backup!X11</f>
        <v>Builds practical entrepreneurship for future study, work and responsible citizenship.</v>
      </c>
      <c r="AC11" s="5" t="str">
        <f>Legacy_Backup!M11</f>
        <v>Entrepreneurship</v>
      </c>
      <c r="AD11" s="5" t="str">
        <f>IF(UPPER(Legacy_Backup!O11)="YES",A11&amp;".png","NA")</f>
        <v>08_EM_OI_010.png</v>
      </c>
      <c r="AE11" s="5" t="str">
        <f>Legacy_Backup!AB11</f>
        <v/>
      </c>
      <c r="AF11" s="5"/>
      <c r="AG11" s="5"/>
      <c r="AH11" s="5" t="str">
        <f>IF(LEFT(Legacy_Backup!AC11,1)="v",Legacy_Backup!AC11,"v"&amp;Legacy_Backup!AC11)</f>
        <v>v1.0</v>
      </c>
    </row>
    <row r="12">
      <c r="A12" s="4" t="s">
        <v>425</v>
      </c>
      <c r="B12" s="4">
        <v>8.0</v>
      </c>
      <c r="C12" s="4">
        <v>1.0</v>
      </c>
      <c r="D12" s="4" t="s">
        <v>40</v>
      </c>
      <c r="E12" s="4" t="s">
        <v>41</v>
      </c>
      <c r="F12" s="4">
        <v>6.0</v>
      </c>
      <c r="G12" s="4" t="s">
        <v>92</v>
      </c>
      <c r="H12" s="4" t="s">
        <v>94</v>
      </c>
      <c r="I12" s="4" t="s">
        <v>427</v>
      </c>
      <c r="J12" s="5" t="str">
        <f>Legacy_Backup!G12</f>
        <v>Customer Understanding</v>
      </c>
      <c r="K12" s="5" t="str">
        <f t="shared" si="1"/>
        <v>011</v>
      </c>
      <c r="L12" s="5" t="str">
        <f>Legacy_Backup!H12</f>
        <v>Improve a product using evidence</v>
      </c>
      <c r="M12" s="5" t="str">
        <f>IFERROR(__xludf.DUMMYFUNCTION("IF(REGEXMATCH(UPPER(Legacy_Backup!I12),""KNOW""),""Know"",IF(REGEXMATCH(UPPER(Legacy_Backup!I12),""IMAGINE|INNOVATION""),""Imagine"",""Think""))"),"Think")</f>
        <v>Think</v>
      </c>
      <c r="N12" s="5" t="str">
        <f>IFERROR(__xludf.DUMMYFUNCTION("IF(REGEXMATCH(UPPER(Legacy_Backup!J12),""FUTURE""),""Future-Oriented"",IF(REGEXMATCH(UPPER(Legacy_Backup!J12),""KNOWLEDGE""),""Knowledge-Based"",IF(REGEXMATCH(UPPER(Legacy_Backup!J12),""DECISION""),""Decision-Making"",""Situation-Based"")))"),"Situation-Based")</f>
        <v>Situation-Based</v>
      </c>
      <c r="O12" s="5" t="str">
        <f>IF(UPPER(Legacy_Backup!K12)="HARD","Difficult",PROPER(Legacy_Backup!K12))</f>
        <v>Easy</v>
      </c>
      <c r="P12" s="5" t="str">
        <f>IF(UPPER(Legacy_Backup!O12)="YES","Visual","Text")</f>
        <v>Text</v>
      </c>
      <c r="Q12" s="5" t="str">
        <f>PROPER(Legacy_Backup!O12)</f>
        <v>No</v>
      </c>
      <c r="R12" s="5" t="str">
        <f>IF(UPPER(Legacy_Backup!O12)="YES",IF(Legacy_Backup!Y12&lt;&gt;"",Legacy_Backup!Y12,"Image required"),"NA")</f>
        <v>NA</v>
      </c>
      <c r="S12" s="5" t="str">
        <f>IF(UPPER(Legacy_Backup!O12)="YES",IF(Legacy_Backup!Z12&lt;&gt;"",Legacy_Backup!Z12,"Prompt required"),"NA")</f>
        <v>NA</v>
      </c>
      <c r="T12" s="5" t="str">
        <f>IF(Legacy_Backup!L12&lt;&gt;"",PROPER(Legacy_Backup!L12),"Apply")</f>
        <v>Evaluate</v>
      </c>
      <c r="U12" s="5" t="str">
        <f>Legacy_Backup!P12</f>
        <v>After testing a pencil grip, 8 of 10 students say it slips. What is the best next step?</v>
      </c>
      <c r="V12" s="5" t="str">
        <f>Legacy_Backup!Q12</f>
        <v>Ignore them because two students liked it</v>
      </c>
      <c r="W12" s="5" t="str">
        <f>Legacy_Backup!R12</f>
        <v>Produce 500 grips immediately</v>
      </c>
      <c r="X12" s="5" t="str">
        <f>Legacy_Backup!S12</f>
        <v>Change the material and test the new version</v>
      </c>
      <c r="Y12" s="5" t="str">
        <f>Legacy_Backup!T12</f>
        <v>Change only the logo</v>
      </c>
      <c r="Z12" s="5" t="str">
        <f>Legacy_Backup!U12</f>
        <v>C</v>
      </c>
      <c r="AA12" s="5" t="str">
        <f>Legacy_Backup!W12</f>
        <v>Change the material and test the new version is the best choice because it directly applies customer understanding to the situation and addresses the stated need with a practical, responsible action.</v>
      </c>
      <c r="AB12" s="5" t="str">
        <f>Legacy_Backup!X12</f>
        <v>Builds practical entrepreneurship for future study, work and responsible citizenship.</v>
      </c>
      <c r="AC12" s="5" t="str">
        <f>Legacy_Backup!M12</f>
        <v>Entrepreneurship</v>
      </c>
      <c r="AD12" s="5" t="str">
        <f>IF(UPPER(Legacy_Backup!O12)="YES",A12&amp;".png","NA")</f>
        <v>NA</v>
      </c>
      <c r="AE12" s="5" t="str">
        <f>Legacy_Backup!AB12</f>
        <v/>
      </c>
      <c r="AF12" s="5"/>
      <c r="AG12" s="5"/>
      <c r="AH12" s="5" t="str">
        <f>IF(LEFT(Legacy_Backup!AC12,1)="v",Legacy_Backup!AC12,"v"&amp;Legacy_Backup!AC12)</f>
        <v>v1.0</v>
      </c>
    </row>
    <row r="13">
      <c r="A13" s="4" t="s">
        <v>454</v>
      </c>
      <c r="B13" s="4">
        <v>8.0</v>
      </c>
      <c r="C13" s="4">
        <v>1.0</v>
      </c>
      <c r="D13" s="4" t="s">
        <v>40</v>
      </c>
      <c r="E13" s="4" t="s">
        <v>41</v>
      </c>
      <c r="F13" s="4">
        <v>6.0</v>
      </c>
      <c r="G13" s="4" t="s">
        <v>92</v>
      </c>
      <c r="H13" s="4" t="s">
        <v>94</v>
      </c>
      <c r="I13" s="4" t="s">
        <v>456</v>
      </c>
      <c r="J13" s="5" t="str">
        <f>Legacy_Backup!G13</f>
        <v>Visual – shopkeeper talking</v>
      </c>
      <c r="K13" s="5" t="str">
        <f t="shared" si="1"/>
        <v>012</v>
      </c>
      <c r="L13" s="5" t="str">
        <f>Legacy_Backup!H13</f>
        <v>Identify customer understanding from a visual scene.</v>
      </c>
      <c r="M13" s="5" t="str">
        <f>IFERROR(__xludf.DUMMYFUNCTION("IF(REGEXMATCH(UPPER(Legacy_Backup!I13),""KNOW""),""Know"",IF(REGEXMATCH(UPPER(Legacy_Backup!I13),""IMAGINE|INNOVATION""),""Imagine"",""Think""))"),"Think")</f>
        <v>Think</v>
      </c>
      <c r="N13" s="5" t="str">
        <f>IFERROR(__xludf.DUMMYFUNCTION("IF(REGEXMATCH(UPPER(Legacy_Backup!J13),""FUTURE""),""Future-Oriented"",IF(REGEXMATCH(UPPER(Legacy_Backup!J13),""KNOWLEDGE""),""Knowledge-Based"",IF(REGEXMATCH(UPPER(Legacy_Backup!J13),""DECISION""),""Decision-Making"",""Situation-Based"")))"),"Situation-Based")</f>
        <v>Situation-Based</v>
      </c>
      <c r="O13" s="5" t="str">
        <f>IF(UPPER(Legacy_Backup!K13)="HARD","Difficult",PROPER(Legacy_Backup!K13))</f>
        <v>Medium</v>
      </c>
      <c r="P13" s="5" t="str">
        <f>IF(UPPER(Legacy_Backup!O13)="YES","Visual","Text")</f>
        <v>Visual</v>
      </c>
      <c r="Q13" s="5" t="str">
        <f>PROPER(Legacy_Backup!O13)</f>
        <v>Yes</v>
      </c>
      <c r="R13" s="5" t="str">
        <f>IF(UPPER(Legacy_Backup!O13)="YES",IF(Legacy_Backup!Y13&lt;&gt;"",Legacy_Backup!Y13,"Image required"),"NA")</f>
        <v>Shopkeeper speaking with a customer and noting something on a pad.</v>
      </c>
      <c r="S13" s="5" t="str">
        <f>IF(UPPER(Legacy_Backup!O13)="YES",IF(Legacy_Backup!Z13&lt;&gt;"",Legacy_Backup!Z13,"Prompt required"),"NA")</f>
        <v>Draw a small shop with a shopkeeper listening to a customer, writing notes on a notepad. Show them facing each other.</v>
      </c>
      <c r="T13" s="5" t="str">
        <f>IF(Legacy_Backup!L13&lt;&gt;"",PROPER(Legacy_Backup!L13),"Apply")</f>
        <v>Analyze</v>
      </c>
      <c r="U13" s="5" t="str">
        <f>Legacy_Backup!P13</f>
        <v>A shopkeeper listens to a customer and writes notes. What is this most likely showing?</v>
      </c>
      <c r="V13" s="5" t="str">
        <f>Legacy_Backup!Q13</f>
        <v>Understanding customer needs</v>
      </c>
      <c r="W13" s="5" t="str">
        <f>Legacy_Backup!R13</f>
        <v>Preparing to-do task list for customer</v>
      </c>
      <c r="X13" s="5" t="str">
        <f>Legacy_Backup!S13</f>
        <v>Preparing to close the shop forever</v>
      </c>
      <c r="Y13" s="5" t="str">
        <f>Legacy_Backup!T13</f>
        <v>Counting old stock without any reason</v>
      </c>
      <c r="Z13" s="5" t="str">
        <f>Legacy_Backup!U13</f>
        <v>A</v>
      </c>
      <c r="AA13" s="5" t="str">
        <f>Legacy_Backup!W13</f>
        <v>Listening and noting details suggests the shopkeeper is learning about customer needs.</v>
      </c>
      <c r="AB13" s="5" t="str">
        <f>Legacy_Backup!X13</f>
        <v>Normalises feedback collection as part of everyday business.</v>
      </c>
      <c r="AC13" s="5" t="str">
        <f>Legacy_Backup!M13</f>
        <v>Observing customer interaction.</v>
      </c>
      <c r="AD13" s="5" t="str">
        <f>IF(UPPER(Legacy_Backup!O13)="YES",A13&amp;".png","NA")</f>
        <v>08_EM_CE_012.png</v>
      </c>
      <c r="AE13" s="5" t="str">
        <f>Legacy_Backup!AB13</f>
        <v/>
      </c>
      <c r="AF13" s="5"/>
      <c r="AG13" s="5"/>
      <c r="AH13" s="5" t="str">
        <f>IF(LEFT(Legacy_Backup!AC13,1)="v",Legacy_Backup!AC13,"v"&amp;Legacy_Backup!AC13)</f>
        <v>v1.0</v>
      </c>
    </row>
    <row r="14">
      <c r="A14" s="4" t="s">
        <v>482</v>
      </c>
      <c r="B14" s="4">
        <v>8.0</v>
      </c>
      <c r="C14" s="4">
        <v>1.0</v>
      </c>
      <c r="D14" s="4" t="s">
        <v>40</v>
      </c>
      <c r="E14" s="4" t="s">
        <v>41</v>
      </c>
      <c r="F14" s="4">
        <v>7.0</v>
      </c>
      <c r="G14" s="4" t="s">
        <v>294</v>
      </c>
      <c r="H14" s="4" t="s">
        <v>221</v>
      </c>
      <c r="I14" s="4" t="s">
        <v>488</v>
      </c>
      <c r="J14" s="5" t="str">
        <f>Legacy_Backup!G14</f>
        <v>Visual – two students sharing</v>
      </c>
      <c r="K14" s="5" t="str">
        <f t="shared" si="1"/>
        <v>013</v>
      </c>
      <c r="L14" s="5" t="str">
        <f>Legacy_Backup!H14</f>
        <v>Identify fairness in a simple sharing situation.</v>
      </c>
      <c r="M14" s="5" t="str">
        <f>IFERROR(__xludf.DUMMYFUNCTION("IF(REGEXMATCH(UPPER(Legacy_Backup!I14),""KNOW""),""Know"",IF(REGEXMATCH(UPPER(Legacy_Backup!I14),""IMAGINE|INNOVATION""),""Imagine"",""Think""))"),"Know")</f>
        <v>Know</v>
      </c>
      <c r="N14" s="5" t="str">
        <f>IFERROR(__xludf.DUMMYFUNCTION("IF(REGEXMATCH(UPPER(Legacy_Backup!J14),""FUTURE""),""Future-Oriented"",IF(REGEXMATCH(UPPER(Legacy_Backup!J14),""KNOWLEDGE""),""Knowledge-Based"",IF(REGEXMATCH(UPPER(Legacy_Backup!J14),""DECISION""),""Decision-Making"",""Situation-Based"")))"),"Situation-Based")</f>
        <v>Situation-Based</v>
      </c>
      <c r="O14" s="5" t="str">
        <f>IF(UPPER(Legacy_Backup!K14)="HARD","Difficult",PROPER(Legacy_Backup!K14))</f>
        <v>Medium</v>
      </c>
      <c r="P14" s="5" t="str">
        <f>IF(UPPER(Legacy_Backup!O14)="YES","Visual","Text")</f>
        <v>Visual</v>
      </c>
      <c r="Q14" s="5" t="str">
        <f>PROPER(Legacy_Backup!O14)</f>
        <v>Yes</v>
      </c>
      <c r="R14" s="5" t="str">
        <f>IF(UPPER(Legacy_Backup!O14)="YES",IF(Legacy_Backup!Y14&lt;&gt;"",Legacy_Backup!Y14,"Image required"),"NA")</f>
        <v>Two students sharing equal parts of a snack.</v>
      </c>
      <c r="S14" s="5" t="str">
        <f>IF(UPPER(Legacy_Backup!O14)="YES",IF(Legacy_Backup!Z14&lt;&gt;"",Legacy_Backup!Z14,"Prompt required"),"NA")</f>
        <v>Draw two students splitting a snack into equal parts and smiling.</v>
      </c>
      <c r="T14" s="5" t="str">
        <f>IF(Legacy_Backup!L14&lt;&gt;"",PROPER(Legacy_Backup!L14),"Apply")</f>
        <v>Apply</v>
      </c>
      <c r="U14" s="5" t="str">
        <f>Legacy_Backup!P14</f>
        <v>Look at the image shpwing two friends What does this show?</v>
      </c>
      <c r="V14" s="5" t="str">
        <f>Legacy_Backup!Q14</f>
        <v>Fair sharing between friends</v>
      </c>
      <c r="W14" s="5" t="str">
        <f>Legacy_Backup!R14</f>
        <v>Debating on the choice of snack</v>
      </c>
      <c r="X14" s="5" t="str">
        <f>Legacy_Backup!S14</f>
        <v>Fighting over marks</v>
      </c>
      <c r="Y14" s="5" t="str">
        <f>Legacy_Backup!T14</f>
        <v>Ignoring each other completely</v>
      </c>
      <c r="Z14" s="5" t="str">
        <f>Legacy_Backup!U14</f>
        <v>A</v>
      </c>
      <c r="AA14" s="5" t="str">
        <f>Legacy_Backup!W14</f>
        <v>Equal division of a snack reflects fairness and consideration.</v>
      </c>
      <c r="AB14" s="5" t="str">
        <f>Legacy_Backup!X14</f>
        <v>Connects everyday fairness with ethical thinking in business.</v>
      </c>
      <c r="AC14" s="5" t="str">
        <f>Legacy_Backup!M14</f>
        <v>Everyday fairness.</v>
      </c>
      <c r="AD14" s="5" t="str">
        <f>IF(UPPER(Legacy_Backup!O14)="YES",A14&amp;".png","NA")</f>
        <v>08_EM_EF_013.png</v>
      </c>
      <c r="AE14" s="5" t="str">
        <f>Legacy_Backup!AB14</f>
        <v/>
      </c>
      <c r="AF14" s="5"/>
      <c r="AG14" s="5"/>
      <c r="AH14" s="5" t="str">
        <f>IF(LEFT(Legacy_Backup!AC14,1)="v",Legacy_Backup!AC14,"v"&amp;Legacy_Backup!AC14)</f>
        <v>v1.0</v>
      </c>
    </row>
    <row r="15">
      <c r="A15" s="4" t="s">
        <v>525</v>
      </c>
      <c r="B15" s="4">
        <v>8.0</v>
      </c>
      <c r="C15" s="4">
        <v>5.0</v>
      </c>
      <c r="D15" s="4" t="s">
        <v>244</v>
      </c>
      <c r="E15" s="4" t="s">
        <v>243</v>
      </c>
      <c r="F15" s="4">
        <v>25.0</v>
      </c>
      <c r="G15" s="4" t="s">
        <v>527</v>
      </c>
      <c r="H15" s="4" t="s">
        <v>528</v>
      </c>
      <c r="I15" s="4" t="s">
        <v>529</v>
      </c>
      <c r="J15" s="5" t="str">
        <f>Legacy_Backup!G15</f>
        <v>Root Cause Analysis</v>
      </c>
      <c r="K15" s="5" t="str">
        <f t="shared" si="1"/>
        <v>001</v>
      </c>
      <c r="L15" s="5" t="str">
        <f>Legacy_Backup!H15</f>
        <v>Identify causes before selecting solutions</v>
      </c>
      <c r="M15" s="5" t="str">
        <f>IFERROR(__xludf.DUMMYFUNCTION("IF(REGEXMATCH(UPPER(Legacy_Backup!I15),""KNOW""),""Know"",IF(REGEXMATCH(UPPER(Legacy_Backup!I15),""IMAGINE|INNOVATION""),""Imagine"",""Think""))"),"Think")</f>
        <v>Think</v>
      </c>
      <c r="N15" s="5" t="str">
        <f>IFERROR(__xludf.DUMMYFUNCTION("IF(REGEXMATCH(UPPER(Legacy_Backup!J15),""FUTURE""),""Future-Oriented"",IF(REGEXMATCH(UPPER(Legacy_Backup!J15),""KNOWLEDGE""),""Knowledge-Based"",IF(REGEXMATCH(UPPER(Legacy_Backup!J15),""DECISION""),""Decision-Making"",""Situation-Based"")))"),"Situation-Based")</f>
        <v>Situation-Based</v>
      </c>
      <c r="O15" s="5" t="str">
        <f>IF(UPPER(Legacy_Backup!K15)="HARD","Difficult",PROPER(Legacy_Backup!K15))</f>
        <v>Easy</v>
      </c>
      <c r="P15" s="5" t="str">
        <f>IF(UPPER(Legacy_Backup!O15)="YES","Visual","Text")</f>
        <v>Text</v>
      </c>
      <c r="Q15" s="5" t="str">
        <f>PROPER(Legacy_Backup!O15)</f>
        <v>No</v>
      </c>
      <c r="R15" s="5" t="str">
        <f>IF(UPPER(Legacy_Backup!O15)="YES",IF(Legacy_Backup!Y15&lt;&gt;"",Legacy_Backup!Y15,"Image required"),"NA")</f>
        <v>NA</v>
      </c>
      <c r="S15" s="5" t="str">
        <f>IF(UPPER(Legacy_Backup!O15)="YES",IF(Legacy_Backup!Z15&lt;&gt;"",Legacy_Backup!Z15,"Prompt required"),"NA")</f>
        <v>NA</v>
      </c>
      <c r="T15" s="5" t="str">
        <f>IF(Legacy_Backup!L15&lt;&gt;"",PROPER(Legacy_Backup!L15),"Apply")</f>
        <v>Analyze</v>
      </c>
      <c r="U15" s="5" t="str">
        <f>Legacy_Backup!P15</f>
        <v>The school bus is late on four days. What should students do first?</v>
      </c>
      <c r="V15" s="5" t="str">
        <f>Legacy_Backup!Q15</f>
        <v>Meet the administration &amp; request a new bus immediately</v>
      </c>
      <c r="W15" s="5" t="str">
        <f>Legacy_Backup!R15</f>
        <v>Record departure times, routes and delay reasons</v>
      </c>
      <c r="X15" s="5" t="str">
        <f>Legacy_Backup!S15</f>
        <v>Assume the driver is careless and seek change</v>
      </c>
      <c r="Y15" s="5" t="str">
        <f>Legacy_Backup!T15</f>
        <v>Cancel the bus service for students</v>
      </c>
      <c r="Z15" s="5" t="str">
        <f>Legacy_Backup!U15</f>
        <v>B</v>
      </c>
      <c r="AA15" s="5" t="str">
        <f>Legacy_Backup!W15</f>
        <v>Record departure times, routes and delay reasons is the best choice because it directly applies root cause analysis to the situation and addresses the stated need with a practical, responsible action.</v>
      </c>
      <c r="AB15" s="5" t="str">
        <f>Legacy_Backup!X15</f>
        <v>Builds practical problem solving for future study, work and responsible citizenship.</v>
      </c>
      <c r="AC15" s="5" t="str">
        <f>Legacy_Backup!M15</f>
        <v>Problem Solving</v>
      </c>
      <c r="AD15" s="5" t="str">
        <f>IF(UPPER(Legacy_Backup!O15)="YES",A15&amp;".png","NA")</f>
        <v>NA</v>
      </c>
      <c r="AE15" s="5" t="str">
        <f>Legacy_Backup!AB15</f>
        <v/>
      </c>
      <c r="AF15" s="5"/>
      <c r="AG15" s="5"/>
      <c r="AH15" s="5" t="str">
        <f>IF(LEFT(Legacy_Backup!AC15,1)="v",Legacy_Backup!AC15,"v"&amp;Legacy_Backup!AC15)</f>
        <v>v1.0</v>
      </c>
    </row>
    <row r="16">
      <c r="A16" s="4" t="s">
        <v>558</v>
      </c>
      <c r="B16" s="4">
        <v>8.0</v>
      </c>
      <c r="C16" s="4">
        <v>5.0</v>
      </c>
      <c r="D16" s="4" t="s">
        <v>244</v>
      </c>
      <c r="E16" s="4" t="s">
        <v>243</v>
      </c>
      <c r="F16" s="4">
        <v>25.0</v>
      </c>
      <c r="G16" s="4" t="s">
        <v>527</v>
      </c>
      <c r="H16" s="4" t="s">
        <v>528</v>
      </c>
      <c r="I16" s="4" t="s">
        <v>564</v>
      </c>
      <c r="J16" s="5" t="str">
        <f>Legacy_Backup!G16</f>
        <v>Prioritisation</v>
      </c>
      <c r="K16" s="5" t="str">
        <f t="shared" si="1"/>
        <v>002</v>
      </c>
      <c r="L16" s="5" t="str">
        <f>Legacy_Backup!H16</f>
        <v>Prioritise a safety-critical issue</v>
      </c>
      <c r="M16" s="5" t="str">
        <f>IFERROR(__xludf.DUMMYFUNCTION("IF(REGEXMATCH(UPPER(Legacy_Backup!I16),""KNOW""),""Know"",IF(REGEXMATCH(UPPER(Legacy_Backup!I16),""IMAGINE|INNOVATION""),""Imagine"",""Think""))"),"Think")</f>
        <v>Think</v>
      </c>
      <c r="N16" s="5" t="str">
        <f>IFERROR(__xludf.DUMMYFUNCTION("IF(REGEXMATCH(UPPER(Legacy_Backup!J16),""FUTURE""),""Future-Oriented"",IF(REGEXMATCH(UPPER(Legacy_Backup!J16),""KNOWLEDGE""),""Knowledge-Based"",IF(REGEXMATCH(UPPER(Legacy_Backup!J16),""DECISION""),""Decision-Making"",""Situation-Based"")))"),"Situation-Based")</f>
        <v>Situation-Based</v>
      </c>
      <c r="O16" s="5" t="str">
        <f>IF(UPPER(Legacy_Backup!K16)="HARD","Difficult",PROPER(Legacy_Backup!K16))</f>
        <v>Easy</v>
      </c>
      <c r="P16" s="5" t="str">
        <f>IF(UPPER(Legacy_Backup!O16)="YES","Visual","Text")</f>
        <v>Visual</v>
      </c>
      <c r="Q16" s="5" t="str">
        <f>PROPER(Legacy_Backup!O16)</f>
        <v>Yes</v>
      </c>
      <c r="R16" s="5" t="str">
        <f>IF(UPPER(Legacy_Backup!O16)="YES",IF(Legacy_Backup!Y16&lt;&gt;"",Legacy_Backup!Y16,"Image required"),"NA")</f>
        <v>A clean Grade 8 educational table or chart illustrating: A team lists four issues: faded poster, loose electric wire, slow Wi-Fi and untidy shelf. Which should be solved first?</v>
      </c>
      <c r="S16" s="5" t="str">
        <f>IF(UPPER(Legacy_Backup!O16)="YES",IF(Legacy_Backup!Z16&lt;&gt;"",Legacy_Backup!Z16,"Prompt required"),"NA")</f>
        <v>Create a clear, age-appropriate educational visual for Grade 8. Show only the information needed for this MCQ: A team lists four issues: faded poster, loose electric wire, slow Wi-Fi and untidy shelf. Which should be solved first? Use a light background, simple labels, high contrast, no answer clues, landscape 4:3.</v>
      </c>
      <c r="T16" s="5" t="str">
        <f>IF(Legacy_Backup!L16&lt;&gt;"",PROPER(Legacy_Backup!L16),"Apply")</f>
        <v>Analyze</v>
      </c>
      <c r="U16" s="5" t="str">
        <f>Legacy_Backup!P16</f>
        <v>A team lists four issues: faded poster, loose electric wire, slow Wi-Fi and untidy shelf. Which should be solved first?</v>
      </c>
      <c r="V16" s="5" t="str">
        <f>Legacy_Backup!Q16</f>
        <v>Faded poster</v>
      </c>
      <c r="W16" s="5" t="str">
        <f>Legacy_Backup!R16</f>
        <v>Slow Wi-Fi</v>
      </c>
      <c r="X16" s="5" t="str">
        <f>Legacy_Backup!S16</f>
        <v>Loose electric wire</v>
      </c>
      <c r="Y16" s="5" t="str">
        <f>Legacy_Backup!T16</f>
        <v>Untidy shelf</v>
      </c>
      <c r="Z16" s="5" t="str">
        <f>Legacy_Backup!U16</f>
        <v>C</v>
      </c>
      <c r="AA16" s="5" t="str">
        <f>Legacy_Backup!W16</f>
        <v>Loose electric wire is the best choice because it directly applies prioritisation to the situation and addresses the stated need with a practical, responsible action.</v>
      </c>
      <c r="AB16" s="5" t="str">
        <f>Legacy_Backup!X16</f>
        <v>Builds practical problem solving for future study, work and responsible citizenship.</v>
      </c>
      <c r="AC16" s="5" t="str">
        <f>Legacy_Backup!M16</f>
        <v>Problem Solving</v>
      </c>
      <c r="AD16" s="5" t="str">
        <f>IF(UPPER(Legacy_Backup!O16)="YES",A16&amp;".png","NA")</f>
        <v>08_PSI_PC_002.png</v>
      </c>
      <c r="AE16" s="5" t="str">
        <f>Legacy_Backup!AB16</f>
        <v/>
      </c>
      <c r="AF16" s="5"/>
      <c r="AG16" s="5"/>
      <c r="AH16" s="5" t="str">
        <f>IF(LEFT(Legacy_Backup!AC16,1)="v",Legacy_Backup!AC16,"v"&amp;Legacy_Backup!AC16)</f>
        <v>v1.0</v>
      </c>
    </row>
    <row r="17">
      <c r="A17" s="4" t="s">
        <v>600</v>
      </c>
      <c r="B17" s="4">
        <v>8.0</v>
      </c>
      <c r="C17" s="4">
        <v>5.0</v>
      </c>
      <c r="D17" s="4" t="s">
        <v>244</v>
      </c>
      <c r="E17" s="4" t="s">
        <v>243</v>
      </c>
      <c r="F17" s="4">
        <v>29.0</v>
      </c>
      <c r="G17" s="4" t="s">
        <v>315</v>
      </c>
      <c r="H17" s="4" t="s">
        <v>314</v>
      </c>
      <c r="I17" s="4" t="s">
        <v>602</v>
      </c>
      <c r="J17" s="5" t="str">
        <f>Legacy_Backup!G17</f>
        <v>Data-based Problem Solving</v>
      </c>
      <c r="K17" s="5" t="str">
        <f t="shared" si="1"/>
        <v>003</v>
      </c>
      <c r="L17" s="5" t="str">
        <f>Legacy_Backup!H17</f>
        <v>Use data to identify a pattern</v>
      </c>
      <c r="M17" s="5" t="str">
        <f>IFERROR(__xludf.DUMMYFUNCTION("IF(REGEXMATCH(UPPER(Legacy_Backup!I17),""KNOW""),""Know"",IF(REGEXMATCH(UPPER(Legacy_Backup!I17),""IMAGINE|INNOVATION""),""Imagine"",""Think""))"),"Think")</f>
        <v>Think</v>
      </c>
      <c r="N17" s="5" t="str">
        <f>IFERROR(__xludf.DUMMYFUNCTION("IF(REGEXMATCH(UPPER(Legacy_Backup!J17),""FUTURE""),""Future-Oriented"",IF(REGEXMATCH(UPPER(Legacy_Backup!J17),""KNOWLEDGE""),""Knowledge-Based"",IF(REGEXMATCH(UPPER(Legacy_Backup!J17),""DECISION""),""Decision-Making"",""Situation-Based"")))"),"Situation-Based")</f>
        <v>Situation-Based</v>
      </c>
      <c r="O17" s="5" t="str">
        <f>IF(UPPER(Legacy_Backup!K17)="HARD","Difficult",PROPER(Legacy_Backup!K17))</f>
        <v>Easy</v>
      </c>
      <c r="P17" s="5" t="str">
        <f>IF(UPPER(Legacy_Backup!O17)="YES","Visual","Text")</f>
        <v>Visual</v>
      </c>
      <c r="Q17" s="5" t="str">
        <f>PROPER(Legacy_Backup!O17)</f>
        <v>Yes</v>
      </c>
      <c r="R17" s="5" t="str">
        <f>IF(UPPER(Legacy_Backup!O17)="YES",IF(Legacy_Backup!Y17&lt;&gt;"",Legacy_Backup!Y17,"Image required"),"NA")</f>
        <v>A clean Grade 8 educational real-life scene illustrating: A table shows library crowding: Monday 20, Tuesday 22, Wednesday 45, Thursday 21 students. Which day should get an extra librarian?</v>
      </c>
      <c r="S17" s="5" t="str">
        <f>IF(UPPER(Legacy_Backup!O17)="YES",IF(Legacy_Backup!Z17&lt;&gt;"",Legacy_Backup!Z17,"Prompt required"),"NA")</f>
        <v>Create a clear, age-appropriate educational visual for Grade 8. Show only the information needed for this MCQ: A table shows library crowding: Monday 20, Tuesday 22, Wednesday 45, Thursday 21 students. Which day should get an extra librarian? Use a light background, simple labels, high contrast, no answer clues, landscape 4:3.</v>
      </c>
      <c r="T17" s="5" t="str">
        <f>IF(Legacy_Backup!L17&lt;&gt;"",PROPER(Legacy_Backup!L17),"Apply")</f>
        <v>Analyze</v>
      </c>
      <c r="U17" s="5" t="str">
        <f>Legacy_Backup!P17</f>
        <v>A table shows library crowding on weekdays. Which day is best suited for an extra librarian?</v>
      </c>
      <c r="V17" s="5" t="str">
        <f>Legacy_Backup!Q17</f>
        <v>Monday</v>
      </c>
      <c r="W17" s="5" t="str">
        <f>Legacy_Backup!R17</f>
        <v>Tuesday</v>
      </c>
      <c r="X17" s="5" t="str">
        <f>Legacy_Backup!S17</f>
        <v>Thursday</v>
      </c>
      <c r="Y17" s="5" t="str">
        <f>Legacy_Backup!T17</f>
        <v>Wednesday</v>
      </c>
      <c r="Z17" s="5" t="str">
        <f>Legacy_Backup!U17</f>
        <v>D</v>
      </c>
      <c r="AA17" s="5" t="str">
        <f>Legacy_Backup!W17</f>
        <v>Wednesday is the best choice because it directly applies data-based problem solving to the situation and addresses the stated need with a practical, responsible action.</v>
      </c>
      <c r="AB17" s="5" t="str">
        <f>Legacy_Backup!X17</f>
        <v>Builds practical problem solving for future study, work and responsible citizenship.</v>
      </c>
      <c r="AC17" s="5" t="str">
        <f>Legacy_Backup!M17</f>
        <v>Problem Solving</v>
      </c>
      <c r="AD17" s="5" t="str">
        <f>IF(UPPER(Legacy_Backup!O17)="YES",A17&amp;".png","NA")</f>
        <v>08_PSI_DI_003.png</v>
      </c>
      <c r="AE17" s="5" t="str">
        <f>Legacy_Backup!AB17</f>
        <v/>
      </c>
      <c r="AF17" s="5"/>
      <c r="AG17" s="5"/>
      <c r="AH17" s="5" t="str">
        <f>IF(LEFT(Legacy_Backup!AC17,1)="v",Legacy_Backup!AC17,"v"&amp;Legacy_Backup!AC17)</f>
        <v>v1.0</v>
      </c>
    </row>
    <row r="18">
      <c r="A18" s="4" t="s">
        <v>630</v>
      </c>
      <c r="B18" s="4">
        <v>8.0</v>
      </c>
      <c r="C18" s="4">
        <v>5.0</v>
      </c>
      <c r="D18" s="4" t="s">
        <v>244</v>
      </c>
      <c r="E18" s="4" t="s">
        <v>243</v>
      </c>
      <c r="F18" s="4">
        <v>28.0</v>
      </c>
      <c r="G18" s="4" t="s">
        <v>634</v>
      </c>
      <c r="H18" s="4" t="s">
        <v>635</v>
      </c>
      <c r="I18" s="4" t="s">
        <v>636</v>
      </c>
      <c r="J18" s="5" t="str">
        <f>Legacy_Backup!G18</f>
        <v>Design Thinking</v>
      </c>
      <c r="K18" s="5" t="str">
        <f t="shared" si="1"/>
        <v>004</v>
      </c>
      <c r="L18" s="5" t="str">
        <f>Legacy_Backup!H18</f>
        <v>Select a user-centred design improvement</v>
      </c>
      <c r="M18" s="5" t="str">
        <f>IFERROR(__xludf.DUMMYFUNCTION("IF(REGEXMATCH(UPPER(Legacy_Backup!I18),""KNOW""),""Know"",IF(REGEXMATCH(UPPER(Legacy_Backup!I18),""IMAGINE|INNOVATION""),""Imagine"",""Think""))"),"Think")</f>
        <v>Think</v>
      </c>
      <c r="N18" s="5" t="str">
        <f>IFERROR(__xludf.DUMMYFUNCTION("IF(REGEXMATCH(UPPER(Legacy_Backup!J18),""FUTURE""),""Future-Oriented"",IF(REGEXMATCH(UPPER(Legacy_Backup!J18),""KNOWLEDGE""),""Knowledge-Based"",IF(REGEXMATCH(UPPER(Legacy_Backup!J18),""DECISION""),""Decision-Making"",""Situation-Based"")))"),"Situation-Based")</f>
        <v>Situation-Based</v>
      </c>
      <c r="O18" s="5" t="str">
        <f>IF(UPPER(Legacy_Backup!K18)="HARD","Difficult",PROPER(Legacy_Backup!K18))</f>
        <v>Easy</v>
      </c>
      <c r="P18" s="5" t="str">
        <f>IF(UPPER(Legacy_Backup!O18)="YES","Visual","Text")</f>
        <v>Text</v>
      </c>
      <c r="Q18" s="5" t="str">
        <f>PROPER(Legacy_Backup!O18)</f>
        <v>No</v>
      </c>
      <c r="R18" s="5" t="str">
        <f>IF(UPPER(Legacy_Backup!O18)="YES",IF(Legacy_Backup!Y18&lt;&gt;"",Legacy_Backup!Y18,"Image required"),"NA")</f>
        <v>NA</v>
      </c>
      <c r="S18" s="5" t="str">
        <f>IF(UPPER(Legacy_Backup!O18)="YES",IF(Legacy_Backup!Z18&lt;&gt;"",Legacy_Backup!Z18,"Prompt required"),"NA")</f>
        <v>NA</v>
      </c>
      <c r="T18" s="5" t="str">
        <f>IF(Legacy_Backup!L18&lt;&gt;"",PROPER(Legacy_Backup!L18),"Apply")</f>
        <v>Evaluate</v>
      </c>
      <c r="U18" s="5" t="str">
        <f>Legacy_Backup!P18</f>
        <v>A classroom dustbin has waste scattered around it, quite often. Which redesign best addresses the observed problem?</v>
      </c>
      <c r="V18" s="5" t="str">
        <f>Legacy_Backup!Q18</f>
        <v>A wider opening with clear labels</v>
      </c>
      <c r="W18" s="5" t="str">
        <f>Legacy_Backup!R18</f>
        <v>A taller decorative flag</v>
      </c>
      <c r="X18" s="5" t="str">
        <f>Legacy_Backup!S18</f>
        <v>A darker colour only</v>
      </c>
      <c r="Y18" s="5" t="str">
        <f>Legacy_Backup!T18</f>
        <v>A locked lid with a key</v>
      </c>
      <c r="Z18" s="5" t="str">
        <f>Legacy_Backup!U18</f>
        <v>A</v>
      </c>
      <c r="AA18" s="5" t="str">
        <f>Legacy_Backup!W18</f>
        <v>A wider opening with clear labels is the best choice because it directly applies design thinking to the situation and addresses the stated need with a practical, responsible action.</v>
      </c>
      <c r="AB18" s="5" t="str">
        <f>Legacy_Backup!X18</f>
        <v>Builds practical problem solving for future study, work and responsible citizenship.</v>
      </c>
      <c r="AC18" s="5" t="str">
        <f>Legacy_Backup!M18</f>
        <v>Problem Solving</v>
      </c>
      <c r="AD18" s="5" t="str">
        <f>IF(UPPER(Legacy_Backup!O18)="YES",A18&amp;".png","NA")</f>
        <v>NA</v>
      </c>
      <c r="AE18" s="5" t="str">
        <f>Legacy_Backup!AB18</f>
        <v/>
      </c>
      <c r="AF18" s="5"/>
      <c r="AG18" s="5"/>
      <c r="AH18" s="5" t="str">
        <f>IF(LEFT(Legacy_Backup!AC18,1)="v",Legacy_Backup!AC18,"v"&amp;Legacy_Backup!AC18)</f>
        <v>v1.0</v>
      </c>
    </row>
    <row r="19">
      <c r="A19" s="4" t="s">
        <v>685</v>
      </c>
      <c r="B19" s="4">
        <v>8.0</v>
      </c>
      <c r="C19" s="4">
        <v>5.0</v>
      </c>
      <c r="D19" s="4" t="s">
        <v>244</v>
      </c>
      <c r="E19" s="4" t="s">
        <v>243</v>
      </c>
      <c r="F19" s="4">
        <v>25.0</v>
      </c>
      <c r="G19" s="4" t="s">
        <v>527</v>
      </c>
      <c r="H19" s="4" t="s">
        <v>528</v>
      </c>
      <c r="I19" s="4" t="s">
        <v>689</v>
      </c>
      <c r="J19" s="5" t="str">
        <f>Legacy_Backup!G19</f>
        <v>Resource Allocation</v>
      </c>
      <c r="K19" s="5" t="str">
        <f t="shared" si="1"/>
        <v>005</v>
      </c>
      <c r="L19" s="5" t="str">
        <f>Legacy_Backup!H19</f>
        <v>Use limited resources for maximum impact</v>
      </c>
      <c r="M19" s="5" t="str">
        <f>IFERROR(__xludf.DUMMYFUNCTION("IF(REGEXMATCH(UPPER(Legacy_Backup!I19),""KNOW""),""Know"",IF(REGEXMATCH(UPPER(Legacy_Backup!I19),""IMAGINE|INNOVATION""),""Imagine"",""Think""))"),"Imagine")</f>
        <v>Imagine</v>
      </c>
      <c r="N19" s="5" t="str">
        <f>IFERROR(__xludf.DUMMYFUNCTION("IF(REGEXMATCH(UPPER(Legacy_Backup!J19),""FUTURE""),""Future-Oriented"",IF(REGEXMATCH(UPPER(Legacy_Backup!J19),""KNOWLEDGE""),""Knowledge-Based"",IF(REGEXMATCH(UPPER(Legacy_Backup!J19),""DECISION""),""Decision-Making"",""Situation-Based"")))"),"Situation-Based")</f>
        <v>Situation-Based</v>
      </c>
      <c r="O19" s="5" t="str">
        <f>IF(UPPER(Legacy_Backup!K19)="HARD","Difficult",PROPER(Legacy_Backup!K19))</f>
        <v>Easy</v>
      </c>
      <c r="P19" s="5" t="str">
        <f>IF(UPPER(Legacy_Backup!O19)="YES","Visual","Text")</f>
        <v>Text</v>
      </c>
      <c r="Q19" s="5" t="str">
        <f>PROPER(Legacy_Backup!O19)</f>
        <v>No</v>
      </c>
      <c r="R19" s="5" t="str">
        <f>IF(UPPER(Legacy_Backup!O19)="YES",IF(Legacy_Backup!Y19&lt;&gt;"",Legacy_Backup!Y19,"Image required"),"NA")</f>
        <v>NA</v>
      </c>
      <c r="S19" s="5" t="str">
        <f>IF(UPPER(Legacy_Backup!O19)="YES",IF(Legacy_Backup!Z19&lt;&gt;"",Legacy_Backup!Z19,"Prompt required"),"NA")</f>
        <v>NA</v>
      </c>
      <c r="T19" s="5" t="str">
        <f>IF(Legacy_Backup!L19&lt;&gt;"",PROPER(Legacy_Backup!L19),"Apply")</f>
        <v>Create</v>
      </c>
      <c r="U19" s="5" t="str">
        <f>Legacy_Backup!P19</f>
        <v>A team has ₹500 to reduce water waste. A tap washer costs ₹50 and fixes one leaking tap; a poster costs ₹100. Five taps leak. What should the team prioritise?</v>
      </c>
      <c r="V19" s="5" t="str">
        <f>Legacy_Backup!Q19</f>
        <v>Five posters</v>
      </c>
      <c r="W19" s="5" t="str">
        <f>Legacy_Backup!R19</f>
        <v>Repair the five leaking taps</v>
      </c>
      <c r="X19" s="5" t="str">
        <f>Legacy_Backup!S19</f>
        <v>One poster and no repairs</v>
      </c>
      <c r="Y19" s="5" t="str">
        <f>Legacy_Backup!T19</f>
        <v>Save all the money without acting</v>
      </c>
      <c r="Z19" s="5" t="str">
        <f>Legacy_Backup!U19</f>
        <v>B</v>
      </c>
      <c r="AA19" s="5" t="str">
        <f>Legacy_Backup!W19</f>
        <v>Repair the five leaking taps is the best choice because it directly applies resource allocation to the situation and addresses the stated need with a practical, responsible action.</v>
      </c>
      <c r="AB19" s="5" t="str">
        <f>Legacy_Backup!X19</f>
        <v>Builds practical problem solving for future study, work and responsible citizenship.</v>
      </c>
      <c r="AC19" s="5" t="str">
        <f>Legacy_Backup!M19</f>
        <v>Problem Solving</v>
      </c>
      <c r="AD19" s="5" t="str">
        <f>IF(UPPER(Legacy_Backup!O19)="YES",A19&amp;".png","NA")</f>
        <v>NA</v>
      </c>
      <c r="AE19" s="5" t="str">
        <f>Legacy_Backup!AB19</f>
        <v/>
      </c>
      <c r="AF19" s="5"/>
      <c r="AG19" s="5"/>
      <c r="AH19" s="5" t="str">
        <f>IF(LEFT(Legacy_Backup!AC19,1)="v",Legacy_Backup!AC19,"v"&amp;Legacy_Backup!AC19)</f>
        <v>v1.0</v>
      </c>
    </row>
    <row r="20">
      <c r="A20" s="4" t="s">
        <v>713</v>
      </c>
      <c r="B20" s="4">
        <v>8.0</v>
      </c>
      <c r="C20" s="4">
        <v>5.0</v>
      </c>
      <c r="D20" s="4" t="s">
        <v>244</v>
      </c>
      <c r="E20" s="4" t="s">
        <v>243</v>
      </c>
      <c r="F20" s="4">
        <v>26.0</v>
      </c>
      <c r="G20" s="4" t="s">
        <v>714</v>
      </c>
      <c r="H20" s="4" t="s">
        <v>715</v>
      </c>
      <c r="I20" s="4" t="s">
        <v>716</v>
      </c>
      <c r="J20" s="5" t="str">
        <f>Legacy_Backup!G20</f>
        <v>Innovation and Adaptability</v>
      </c>
      <c r="K20" s="5" t="str">
        <f t="shared" si="1"/>
        <v>006</v>
      </c>
      <c r="L20" s="5" t="str">
        <f>Legacy_Backup!H20</f>
        <v>Adapt a solution after testing</v>
      </c>
      <c r="M20" s="5" t="str">
        <f>IFERROR(__xludf.DUMMYFUNCTION("IF(REGEXMATCH(UPPER(Legacy_Backup!I20),""KNOW""),""Know"",IF(REGEXMATCH(UPPER(Legacy_Backup!I20),""IMAGINE|INNOVATION""),""Imagine"",""Think""))"),"Think")</f>
        <v>Think</v>
      </c>
      <c r="N20" s="5" t="str">
        <f>IFERROR(__xludf.DUMMYFUNCTION("IF(REGEXMATCH(UPPER(Legacy_Backup!J20),""FUTURE""),""Future-Oriented"",IF(REGEXMATCH(UPPER(Legacy_Backup!J20),""KNOWLEDGE""),""Knowledge-Based"",IF(REGEXMATCH(UPPER(Legacy_Backup!J20),""DECISION""),""Decision-Making"",""Situation-Based"")))"),"Situation-Based")</f>
        <v>Situation-Based</v>
      </c>
      <c r="O20" s="5" t="str">
        <f>IF(UPPER(Legacy_Backup!K20)="HARD","Difficult",PROPER(Legacy_Backup!K20))</f>
        <v>Easy</v>
      </c>
      <c r="P20" s="5" t="str">
        <f>IF(UPPER(Legacy_Backup!O20)="YES","Visual","Text")</f>
        <v>Text</v>
      </c>
      <c r="Q20" s="5" t="str">
        <f>PROPER(Legacy_Backup!O20)</f>
        <v>No</v>
      </c>
      <c r="R20" s="5" t="str">
        <f>IF(UPPER(Legacy_Backup!O20)="YES",IF(Legacy_Backup!Y20&lt;&gt;"",Legacy_Backup!Y20,"Image required"),"NA")</f>
        <v>NA</v>
      </c>
      <c r="S20" s="5" t="str">
        <f>IF(UPPER(Legacy_Backup!O20)="YES",IF(Legacy_Backup!Z20&lt;&gt;"",Legacy_Backup!Z20,"Prompt required"),"NA")</f>
        <v>NA</v>
      </c>
      <c r="T20" s="5" t="str">
        <f>IF(Legacy_Backup!L20&lt;&gt;"",PROPER(Legacy_Backup!L20),"Apply")</f>
        <v>Apply</v>
      </c>
      <c r="U20" s="5" t="str">
        <f>Legacy_Backup!P20</f>
        <v>A cardboard phone stand bends during testing. Which change is most likely to improve it?</v>
      </c>
      <c r="V20" s="5" t="str">
        <f>Legacy_Backup!Q20</f>
        <v>Add more decoration</v>
      </c>
      <c r="W20" s="5" t="str">
        <f>Legacy_Backup!R20</f>
        <v>Use thinner cardboard</v>
      </c>
      <c r="X20" s="5" t="str">
        <f>Legacy_Backup!S20</f>
        <v>Add folded triangular supports</v>
      </c>
      <c r="Y20" s="5" t="str">
        <f>Legacy_Backup!T20</f>
        <v>Make the phone heavier</v>
      </c>
      <c r="Z20" s="5" t="str">
        <f>Legacy_Backup!U20</f>
        <v>C</v>
      </c>
      <c r="AA20" s="5" t="str">
        <f>Legacy_Backup!W20</f>
        <v>Add folded triangular supports is the best choice because it directly applies innovation and adaptability to the situation and addresses the stated need with a practical, responsible action.</v>
      </c>
      <c r="AB20" s="5" t="str">
        <f>Legacy_Backup!X20</f>
        <v>Builds practical problem solving for future study, work and responsible citizenship.</v>
      </c>
      <c r="AC20" s="5" t="str">
        <f>Legacy_Backup!M20</f>
        <v>Problem Solving</v>
      </c>
      <c r="AD20" s="5" t="str">
        <f>IF(UPPER(Legacy_Backup!O20)="YES",A20&amp;".png","NA")</f>
        <v>NA</v>
      </c>
      <c r="AE20" s="5" t="str">
        <f>Legacy_Backup!AB20</f>
        <v/>
      </c>
      <c r="AF20" s="5"/>
      <c r="AG20" s="5"/>
      <c r="AH20" s="5" t="str">
        <f>IF(LEFT(Legacy_Backup!AC20,1)="v",Legacy_Backup!AC20,"v"&amp;Legacy_Backup!AC20)</f>
        <v>v1.0</v>
      </c>
    </row>
    <row r="21">
      <c r="A21" s="4" t="s">
        <v>717</v>
      </c>
      <c r="B21" s="4">
        <v>8.0</v>
      </c>
      <c r="C21" s="4">
        <v>5.0</v>
      </c>
      <c r="D21" s="4" t="s">
        <v>244</v>
      </c>
      <c r="E21" s="4" t="s">
        <v>243</v>
      </c>
      <c r="F21" s="4">
        <v>29.0</v>
      </c>
      <c r="G21" s="4" t="s">
        <v>315</v>
      </c>
      <c r="H21" s="4" t="s">
        <v>314</v>
      </c>
      <c r="I21" s="4" t="s">
        <v>718</v>
      </c>
      <c r="J21" s="5" t="str">
        <f>Legacy_Backup!G21</f>
        <v>Visual – bar chart of app usage</v>
      </c>
      <c r="K21" s="5" t="str">
        <f t="shared" si="1"/>
        <v>007</v>
      </c>
      <c r="L21" s="5" t="str">
        <f>Legacy_Backup!H21</f>
        <v>Read a simple bar chart.</v>
      </c>
      <c r="M21" s="5" t="str">
        <f>IFERROR(__xludf.DUMMYFUNCTION("IF(REGEXMATCH(UPPER(Legacy_Backup!I21),""KNOW""),""Know"",IF(REGEXMATCH(UPPER(Legacy_Backup!I21),""IMAGINE|INNOVATION""),""Imagine"",""Think""))"),"Think")</f>
        <v>Think</v>
      </c>
      <c r="N21" s="5" t="str">
        <f>IFERROR(__xludf.DUMMYFUNCTION("IF(REGEXMATCH(UPPER(Legacy_Backup!J21),""FUTURE""),""Future-Oriented"",IF(REGEXMATCH(UPPER(Legacy_Backup!J21),""KNOWLEDGE""),""Knowledge-Based"",IF(REGEXMATCH(UPPER(Legacy_Backup!J21),""DECISION""),""Decision-Making"",""Situation-Based"")))"),"Situation-Based")</f>
        <v>Situation-Based</v>
      </c>
      <c r="O21" s="5" t="str">
        <f>IF(UPPER(Legacy_Backup!K21)="HARD","Difficult",PROPER(Legacy_Backup!K21))</f>
        <v>Medium</v>
      </c>
      <c r="P21" s="5" t="str">
        <f>IF(UPPER(Legacy_Backup!O21)="YES","Visual","Text")</f>
        <v>Visual</v>
      </c>
      <c r="Q21" s="5" t="str">
        <f>PROPER(Legacy_Backup!O21)</f>
        <v>Yes</v>
      </c>
      <c r="R21" s="5" t="str">
        <f>IF(UPPER(Legacy_Backup!O21)="YES",IF(Legacy_Backup!Y21&lt;&gt;"",Legacy_Backup!Y21,"Image required"),"NA")</f>
        <v>Bar chart showing app usage increasing from Monday to Friday.</v>
      </c>
      <c r="S21" s="5" t="str">
        <f>IF(UPPER(Legacy_Backup!O21)="YES",IF(Legacy_Backup!Z21&lt;&gt;"",Legacy_Backup!Z21,"Prompt required"),"NA")</f>
        <v>Create a bar chart with days Monday to Friday and usage values rising across the week.</v>
      </c>
      <c r="T21" s="5" t="str">
        <f>IF(Legacy_Backup!L21&lt;&gt;"",PROPER(Legacy_Backup!L21),"Apply")</f>
        <v>Analyze</v>
      </c>
      <c r="U21" s="5" t="str">
        <f>Legacy_Backup!P21</f>
        <v>A bar chart shows a gaming app usage over a week. What does this suggest?</v>
      </c>
      <c r="V21" s="5" t="str">
        <f>Legacy_Backup!Q21</f>
        <v>More students use the app toward the end of the week</v>
      </c>
      <c r="W21" s="5" t="str">
        <f>Legacy_Backup!R21</f>
        <v>Students never use the app on week ends</v>
      </c>
      <c r="X21" s="5" t="str">
        <f>Legacy_Backup!S21</f>
        <v>The app only works on Friday</v>
      </c>
      <c r="Y21" s="5" t="str">
        <f>Legacy_Backup!T21</f>
        <v>The chart has no meaning as night data is  not mentioned</v>
      </c>
      <c r="Z21" s="5" t="str">
        <f>Legacy_Backup!U21</f>
        <v>A</v>
      </c>
      <c r="AA21" s="5" t="str">
        <f>Legacy_Backup!W21</f>
        <v>The tallest bar shows the highest usage level.</v>
      </c>
      <c r="AB21" s="5" t="str">
        <f>Legacy_Backup!X21</f>
        <v>Helps students understand how charts support decisions.</v>
      </c>
      <c r="AC21" s="5" t="str">
        <f>Legacy_Backup!M21</f>
        <v>Interpreting visual data.</v>
      </c>
      <c r="AD21" s="5" t="str">
        <f>IF(UPPER(Legacy_Backup!O21)="YES",A21&amp;".png","NA")</f>
        <v>08_PSI_DI_007.png</v>
      </c>
      <c r="AE21" s="5" t="str">
        <f>Legacy_Backup!AB21</f>
        <v/>
      </c>
      <c r="AF21" s="5"/>
      <c r="AG21" s="5"/>
      <c r="AH21" s="5" t="str">
        <f>IF(LEFT(Legacy_Backup!AC21,1)="v",Legacy_Backup!AC21,"v"&amp;Legacy_Backup!AC21)</f>
        <v>v1.0</v>
      </c>
    </row>
    <row r="22">
      <c r="A22" s="4" t="s">
        <v>719</v>
      </c>
      <c r="B22" s="4">
        <v>8.0</v>
      </c>
      <c r="C22" s="4">
        <v>5.0</v>
      </c>
      <c r="D22" s="4" t="s">
        <v>244</v>
      </c>
      <c r="E22" s="4" t="s">
        <v>243</v>
      </c>
      <c r="F22" s="4">
        <v>25.0</v>
      </c>
      <c r="G22" s="4" t="s">
        <v>527</v>
      </c>
      <c r="H22" s="4" t="s">
        <v>528</v>
      </c>
      <c r="I22" s="4" t="s">
        <v>720</v>
      </c>
      <c r="J22" s="5" t="str">
        <f>Legacy_Backup!G22</f>
        <v>Pattern Recognition</v>
      </c>
      <c r="K22" s="5" t="str">
        <f t="shared" si="1"/>
        <v>008</v>
      </c>
      <c r="L22" s="5" t="str">
        <f>Legacy_Backup!H22</f>
        <v>Recognise a simple operational pattern</v>
      </c>
      <c r="M22" s="5" t="str">
        <f>IFERROR(__xludf.DUMMYFUNCTION("IF(REGEXMATCH(UPPER(Legacy_Backup!I22),""KNOW""),""Know"",IF(REGEXMATCH(UPPER(Legacy_Backup!I22),""IMAGINE|INNOVATION""),""Imagine"",""Think""))"),"Think")</f>
        <v>Think</v>
      </c>
      <c r="N22" s="5" t="str">
        <f>IFERROR(__xludf.DUMMYFUNCTION("IF(REGEXMATCH(UPPER(Legacy_Backup!J22),""FUTURE""),""Future-Oriented"",IF(REGEXMATCH(UPPER(Legacy_Backup!J22),""KNOWLEDGE""),""Knowledge-Based"",IF(REGEXMATCH(UPPER(Legacy_Backup!J22),""DECISION""),""Decision-Making"",""Situation-Based"")))"),"Situation-Based")</f>
        <v>Situation-Based</v>
      </c>
      <c r="O22" s="5" t="str">
        <f>IF(UPPER(Legacy_Backup!K22)="HARD","Difficult",PROPER(Legacy_Backup!K22))</f>
        <v>Easy</v>
      </c>
      <c r="P22" s="5" t="str">
        <f>IF(UPPER(Legacy_Backup!O22)="YES","Visual","Text")</f>
        <v>Visual</v>
      </c>
      <c r="Q22" s="5" t="str">
        <f>PROPER(Legacy_Backup!O22)</f>
        <v>Yes</v>
      </c>
      <c r="R22" s="5" t="str">
        <f>IF(UPPER(Legacy_Backup!O22)="YES",IF(Legacy_Backup!Y22&lt;&gt;"",Legacy_Backup!Y22,"Image required"),"NA")</f>
        <v>A clean Grade 8 educational table or chart illustrating: A machine flashes colours in this order: red, blue, blue, red, blue, blue. What comes next if the pattern repeats?</v>
      </c>
      <c r="S22" s="5" t="str">
        <f>IF(UPPER(Legacy_Backup!O22)="YES",IF(Legacy_Backup!Z22&lt;&gt;"",Legacy_Backup!Z22,"Prompt required"),"NA")</f>
        <v>Create a clear, age-appropriate educational visual for Grade 8. Show only the information needed for this MCQ: A machine flashes colours in this order: red, blue, blue, red, blue, blue. What comes next if the pattern repeats? Use a light background, simple labels, high contrast, no answer clues, landscape 4:3.</v>
      </c>
      <c r="T22" s="5" t="str">
        <f>IF(Legacy_Backup!L22&lt;&gt;"",PROPER(Legacy_Backup!L22),"Apply")</f>
        <v>Analyze</v>
      </c>
      <c r="U22" s="5" t="str">
        <f>Legacy_Backup!P22</f>
        <v>A machine flashes colours in the order as shown in the image. What comes next if the pattern repeats?</v>
      </c>
      <c r="V22" s="5" t="str">
        <f>Legacy_Backup!Q22</f>
        <v>Red</v>
      </c>
      <c r="W22" s="5" t="str">
        <f>Legacy_Backup!R22</f>
        <v>Blue</v>
      </c>
      <c r="X22" s="5" t="str">
        <f>Legacy_Backup!S22</f>
        <v>Green</v>
      </c>
      <c r="Y22" s="5" t="str">
        <f>Legacy_Backup!T22</f>
        <v>Yellow</v>
      </c>
      <c r="Z22" s="5" t="str">
        <f>Legacy_Backup!U22</f>
        <v>A</v>
      </c>
      <c r="AA22" s="5" t="str">
        <f>Legacy_Backup!W22</f>
        <v>Red is the best choice because it directly applies pattern recognition to the situation and addresses the stated need with a practical, responsible action.</v>
      </c>
      <c r="AB22" s="5" t="str">
        <f>Legacy_Backup!X22</f>
        <v>Builds practical problem solving for future study, work and responsible citizenship.</v>
      </c>
      <c r="AC22" s="5" t="str">
        <f>Legacy_Backup!M22</f>
        <v>Problem Solving</v>
      </c>
      <c r="AD22" s="5" t="str">
        <f>IF(UPPER(Legacy_Backup!O22)="YES",A22&amp;".png","NA")</f>
        <v>08_PSI_PC_008.png</v>
      </c>
      <c r="AE22" s="5" t="str">
        <f>Legacy_Backup!AB22</f>
        <v/>
      </c>
      <c r="AF22" s="5"/>
      <c r="AG22" s="5"/>
      <c r="AH22" s="5" t="str">
        <f>IF(LEFT(Legacy_Backup!AC22,1)="v",Legacy_Backup!AC22,"v"&amp;Legacy_Backup!AC22)</f>
        <v>v1.0</v>
      </c>
    </row>
    <row r="23">
      <c r="A23" s="4" t="s">
        <v>721</v>
      </c>
      <c r="B23" s="4">
        <v>8.0</v>
      </c>
      <c r="C23" s="4">
        <v>5.0</v>
      </c>
      <c r="D23" s="4" t="s">
        <v>244</v>
      </c>
      <c r="E23" s="4" t="s">
        <v>243</v>
      </c>
      <c r="F23" s="4">
        <v>27.0</v>
      </c>
      <c r="G23" s="4" t="s">
        <v>722</v>
      </c>
      <c r="H23" s="4" t="s">
        <v>723</v>
      </c>
      <c r="I23" s="4" t="s">
        <v>724</v>
      </c>
      <c r="J23" s="5" t="str">
        <f>Legacy_Backup!G23</f>
        <v>Validation and Trial</v>
      </c>
      <c r="K23" s="5" t="str">
        <f t="shared" si="1"/>
        <v>009</v>
      </c>
      <c r="L23" s="5" t="str">
        <f>Legacy_Backup!H23</f>
        <v>Choose an appropriate prototype test</v>
      </c>
      <c r="M23" s="5" t="str">
        <f>IFERROR(__xludf.DUMMYFUNCTION("IF(REGEXMATCH(UPPER(Legacy_Backup!I23),""KNOW""),""Know"",IF(REGEXMATCH(UPPER(Legacy_Backup!I23),""IMAGINE|INNOVATION""),""Imagine"",""Think""))"),"Think")</f>
        <v>Think</v>
      </c>
      <c r="N23" s="5" t="str">
        <f>IFERROR(__xludf.DUMMYFUNCTION("IF(REGEXMATCH(UPPER(Legacy_Backup!J23),""FUTURE""),""Future-Oriented"",IF(REGEXMATCH(UPPER(Legacy_Backup!J23),""KNOWLEDGE""),""Knowledge-Based"",IF(REGEXMATCH(UPPER(Legacy_Backup!J23),""DECISION""),""Decision-Making"",""Situation-Based"")))"),"Situation-Based")</f>
        <v>Situation-Based</v>
      </c>
      <c r="O23" s="5" t="str">
        <f>IF(UPPER(Legacy_Backup!K23)="HARD","Difficult",PROPER(Legacy_Backup!K23))</f>
        <v>Easy</v>
      </c>
      <c r="P23" s="5" t="str">
        <f>IF(UPPER(Legacy_Backup!O23)="YES","Visual","Text")</f>
        <v>Visual</v>
      </c>
      <c r="Q23" s="5" t="str">
        <f>PROPER(Legacy_Backup!O23)</f>
        <v>Yes</v>
      </c>
      <c r="R23" s="5" t="str">
        <f>IF(UPPER(Legacy_Backup!O23)="YES",IF(Legacy_Backup!Y23&lt;&gt;"",Legacy_Backup!Y23,"Image required"),"NA")</f>
        <v>A clean Grade 8 educational real-life scene illustrating: A team designs a low-cost reading lamp. Which test gives the most useful evidence?</v>
      </c>
      <c r="S23" s="5" t="str">
        <f>IF(UPPER(Legacy_Backup!O23)="YES",IF(Legacy_Backup!Z23&lt;&gt;"",Legacy_Backup!Z23,"Prompt required"),"NA")</f>
        <v>Create a clear, age-appropriate educational visual for Grade 8. Show only the information needed for this MCQ: A team designs a low-cost reading lamp. Which test gives the most useful evidence? Use a light background, simple labels, high contrast, no answer clues, landscape 4:3.</v>
      </c>
      <c r="T23" s="5" t="str">
        <f>IF(Legacy_Backup!L23&lt;&gt;"",PROPER(Legacy_Backup!L23),"Apply")</f>
        <v>Analyze</v>
      </c>
      <c r="U23" s="5" t="str">
        <f>Legacy_Backup!P23</f>
        <v>A team designs a low-cost reading lamp. Which test gives the most useful evidence?</v>
      </c>
      <c r="V23" s="5" t="str">
        <f>Legacy_Backup!Q23</f>
        <v>Ask the designer whether it looks good</v>
      </c>
      <c r="W23" s="5" t="str">
        <f>Legacy_Backup!R23</f>
        <v>Let several students use it and record findings</v>
      </c>
      <c r="X23" s="5" t="str">
        <f>Legacy_Backup!S23</f>
        <v>Count how many stickers are on it</v>
      </c>
      <c r="Y23" s="5" t="str">
        <f>Legacy_Backup!T23</f>
        <v>Compare  its body colour with another lamp</v>
      </c>
      <c r="Z23" s="5" t="str">
        <f>Legacy_Backup!U23</f>
        <v>B</v>
      </c>
      <c r="AA23" s="5" t="str">
        <f>Legacy_Backup!W23</f>
        <v>Let several students use it and record brightness, stability and heat is the best choice because it directly applies validation and trial to the situation and addresses the stated need with a practical, responsible action.</v>
      </c>
      <c r="AB23" s="5" t="str">
        <f>Legacy_Backup!X23</f>
        <v>Builds practical problem solving for future study, work and responsible citizenship.</v>
      </c>
      <c r="AC23" s="5" t="str">
        <f>Legacy_Backup!M23</f>
        <v>Problem Solving</v>
      </c>
      <c r="AD23" s="5" t="str">
        <f>IF(UPPER(Legacy_Backup!O23)="YES",A23&amp;".png","NA")</f>
        <v>08_PSI_VT_009.png</v>
      </c>
      <c r="AE23" s="5" t="str">
        <f>Legacy_Backup!AB23</f>
        <v/>
      </c>
      <c r="AF23" s="5"/>
      <c r="AG23" s="5"/>
      <c r="AH23" s="5" t="str">
        <f>IF(LEFT(Legacy_Backup!AC23,1)="v",Legacy_Backup!AC23,"v"&amp;Legacy_Backup!AC23)</f>
        <v>v1.0</v>
      </c>
    </row>
    <row r="24">
      <c r="A24" s="4" t="s">
        <v>725</v>
      </c>
      <c r="B24" s="4">
        <v>8.0</v>
      </c>
      <c r="C24" s="4">
        <v>5.0</v>
      </c>
      <c r="D24" s="4" t="s">
        <v>244</v>
      </c>
      <c r="E24" s="4" t="s">
        <v>243</v>
      </c>
      <c r="F24" s="4">
        <v>25.0</v>
      </c>
      <c r="G24" s="4" t="s">
        <v>527</v>
      </c>
      <c r="H24" s="4" t="s">
        <v>528</v>
      </c>
      <c r="I24" s="4" t="s">
        <v>726</v>
      </c>
      <c r="J24" s="5" t="str">
        <f>Legacy_Backup!G24</f>
        <v>Cause and Effect</v>
      </c>
      <c r="K24" s="5" t="str">
        <f t="shared" si="1"/>
        <v>010</v>
      </c>
      <c r="L24" s="5" t="str">
        <f>Legacy_Backup!H24</f>
        <v>Separate symptoms from likely causes</v>
      </c>
      <c r="M24" s="5" t="str">
        <f>IFERROR(__xludf.DUMMYFUNCTION("IF(REGEXMATCH(UPPER(Legacy_Backup!I24),""KNOW""),""Know"",IF(REGEXMATCH(UPPER(Legacy_Backup!I24),""IMAGINE|INNOVATION""),""Imagine"",""Think""))"),"Think")</f>
        <v>Think</v>
      </c>
      <c r="N24" s="5" t="str">
        <f>IFERROR(__xludf.DUMMYFUNCTION("IF(REGEXMATCH(UPPER(Legacy_Backup!J24),""FUTURE""),""Future-Oriented"",IF(REGEXMATCH(UPPER(Legacy_Backup!J24),""KNOWLEDGE""),""Knowledge-Based"",IF(REGEXMATCH(UPPER(Legacy_Backup!J24),""DECISION""),""Decision-Making"",""Situation-Based"")))"),"Situation-Based")</f>
        <v>Situation-Based</v>
      </c>
      <c r="O24" s="5" t="str">
        <f>IF(UPPER(Legacy_Backup!K24)="HARD","Difficult",PROPER(Legacy_Backup!K24))</f>
        <v>Easy</v>
      </c>
      <c r="P24" s="5" t="str">
        <f>IF(UPPER(Legacy_Backup!O24)="YES","Visual","Text")</f>
        <v>Text</v>
      </c>
      <c r="Q24" s="5" t="str">
        <f>PROPER(Legacy_Backup!O24)</f>
        <v>No</v>
      </c>
      <c r="R24" s="5" t="str">
        <f>IF(UPPER(Legacy_Backup!O24)="YES",IF(Legacy_Backup!Y24&lt;&gt;"",Legacy_Backup!Y24,"Image required"),"NA")</f>
        <v>NA</v>
      </c>
      <c r="S24" s="5" t="str">
        <f>IF(UPPER(Legacy_Backup!O24)="YES",IF(Legacy_Backup!Z24&lt;&gt;"",Legacy_Backup!Z24,"Prompt required"),"NA")</f>
        <v>NA</v>
      </c>
      <c r="T24" s="5" t="str">
        <f>IF(Legacy_Backup!L24&lt;&gt;"",PROPER(Legacy_Backup!L24),"Apply")</f>
        <v>Evaluate</v>
      </c>
      <c r="U24" s="5" t="str">
        <f>Legacy_Backup!P24</f>
        <v>A classroom becomes very hot every afternoon. What is the best way to investigate the cause?</v>
      </c>
      <c r="V24" s="5" t="str">
        <f>Legacy_Backup!Q24</f>
        <v>Buy new curtains and install AC</v>
      </c>
      <c r="W24" s="5" t="str">
        <f>Legacy_Backup!R24</f>
        <v>Move the class permanently to a new place</v>
      </c>
      <c r="X24" s="5" t="str">
        <f>Legacy_Backup!S24</f>
        <v>Measure ventilation and temperature at different times</v>
      </c>
      <c r="Y24" s="5" t="str">
        <f>Legacy_Backup!T24</f>
        <v>Switch off all lights for one minute to cool down</v>
      </c>
      <c r="Z24" s="5" t="str">
        <f>Legacy_Backup!U24</f>
        <v>C</v>
      </c>
      <c r="AA24" s="5" t="str">
        <f>Legacy_Backup!W24</f>
        <v>Measure sunlight, ventilation and temperature at different times is the best choice because it directly applies cause and effect to the situation and addresses the stated need with a practical, responsible action.</v>
      </c>
      <c r="AB24" s="5" t="str">
        <f>Legacy_Backup!X24</f>
        <v>Builds practical problem solving for future study, work and responsible citizenship.</v>
      </c>
      <c r="AC24" s="5" t="str">
        <f>Legacy_Backup!M24</f>
        <v>Problem Solving</v>
      </c>
      <c r="AD24" s="5" t="str">
        <f>IF(UPPER(Legacy_Backup!O24)="YES",A24&amp;".png","NA")</f>
        <v>NA</v>
      </c>
      <c r="AE24" s="5" t="str">
        <f>Legacy_Backup!AB24</f>
        <v/>
      </c>
      <c r="AF24" s="5"/>
      <c r="AG24" s="5"/>
      <c r="AH24" s="5" t="str">
        <f>IF(LEFT(Legacy_Backup!AC24,1)="v",Legacy_Backup!AC24,"v"&amp;Legacy_Backup!AC24)</f>
        <v>v1.0</v>
      </c>
    </row>
    <row r="25">
      <c r="A25" s="4" t="s">
        <v>727</v>
      </c>
      <c r="B25" s="4">
        <v>8.0</v>
      </c>
      <c r="C25" s="4">
        <v>5.0</v>
      </c>
      <c r="D25" s="4" t="s">
        <v>244</v>
      </c>
      <c r="E25" s="4" t="s">
        <v>243</v>
      </c>
      <c r="F25" s="4">
        <v>25.0</v>
      </c>
      <c r="G25" s="4" t="s">
        <v>527</v>
      </c>
      <c r="H25" s="4" t="s">
        <v>528</v>
      </c>
      <c r="I25" s="4" t="s">
        <v>728</v>
      </c>
      <c r="J25" s="5" t="str">
        <f>Legacy_Backup!G25</f>
        <v>Decision Making</v>
      </c>
      <c r="K25" s="5" t="str">
        <f t="shared" si="1"/>
        <v>011</v>
      </c>
      <c r="L25" s="5" t="str">
        <f>Legacy_Backup!H25</f>
        <v>Compare alternatives using agreed criteria</v>
      </c>
      <c r="M25" s="5" t="str">
        <f>IFERROR(__xludf.DUMMYFUNCTION("IF(REGEXMATCH(UPPER(Legacy_Backup!I25),""KNOW""),""Know"",IF(REGEXMATCH(UPPER(Legacy_Backup!I25),""IMAGINE|INNOVATION""),""Imagine"",""Think""))"),"Imagine")</f>
        <v>Imagine</v>
      </c>
      <c r="N25" s="5" t="str">
        <f>IFERROR(__xludf.DUMMYFUNCTION("IF(REGEXMATCH(UPPER(Legacy_Backup!J25),""FUTURE""),""Future-Oriented"",IF(REGEXMATCH(UPPER(Legacy_Backup!J25),""KNOWLEDGE""),""Knowledge-Based"",IF(REGEXMATCH(UPPER(Legacy_Backup!J25),""DECISION""),""Decision-Making"",""Situation-Based"")))"),"Situation-Based")</f>
        <v>Situation-Based</v>
      </c>
      <c r="O25" s="5" t="str">
        <f>IF(UPPER(Legacy_Backup!K25)="HARD","Difficult",PROPER(Legacy_Backup!K25))</f>
        <v>Easy</v>
      </c>
      <c r="P25" s="5" t="str">
        <f>IF(UPPER(Legacy_Backup!O25)="YES","Visual","Text")</f>
        <v>Text</v>
      </c>
      <c r="Q25" s="5" t="str">
        <f>PROPER(Legacy_Backup!O25)</f>
        <v>No</v>
      </c>
      <c r="R25" s="5" t="str">
        <f>IF(UPPER(Legacy_Backup!O25)="YES",IF(Legacy_Backup!Y25&lt;&gt;"",Legacy_Backup!Y25,"Image required"),"NA")</f>
        <v>NA</v>
      </c>
      <c r="S25" s="5" t="str">
        <f>IF(UPPER(Legacy_Backup!O25)="YES",IF(Legacy_Backup!Z25&lt;&gt;"",Legacy_Backup!Z25,"Prompt required"),"NA")</f>
        <v>NA</v>
      </c>
      <c r="T25" s="5" t="str">
        <f>IF(Legacy_Backup!L25&lt;&gt;"",PROPER(Legacy_Backup!L25),"Apply")</f>
        <v>Create</v>
      </c>
      <c r="U25" s="5" t="str">
        <f>Legacy_Backup!P25</f>
        <v>Three bridge models are scored out of 5: P—strength 5, cost 2; Q—strength 4, cost 4; R—strength 2, cost 5. If both strength and cost matter equally, which is the balanced choice?</v>
      </c>
      <c r="V25" s="5" t="str">
        <f>Legacy_Backup!Q25</f>
        <v>P</v>
      </c>
      <c r="W25" s="5" t="str">
        <f>Legacy_Backup!R25</f>
        <v>R</v>
      </c>
      <c r="X25" s="5" t="str">
        <f>Legacy_Backup!S25</f>
        <v>All are equal</v>
      </c>
      <c r="Y25" s="5" t="str">
        <f>Legacy_Backup!T25</f>
        <v>Q</v>
      </c>
      <c r="Z25" s="5" t="str">
        <f>Legacy_Backup!U25</f>
        <v>D</v>
      </c>
      <c r="AA25" s="5" t="str">
        <f>Legacy_Backup!W25</f>
        <v>Q is the best choice because it directly applies decision making to the situation and addresses the stated need with a practical, responsible action.</v>
      </c>
      <c r="AB25" s="5" t="str">
        <f>Legacy_Backup!X25</f>
        <v>Builds practical problem solving for future study, work and responsible citizenship.</v>
      </c>
      <c r="AC25" s="5" t="str">
        <f>Legacy_Backup!M25</f>
        <v>Problem Solving</v>
      </c>
      <c r="AD25" s="5" t="str">
        <f>IF(UPPER(Legacy_Backup!O25)="YES",A25&amp;".png","NA")</f>
        <v>NA</v>
      </c>
      <c r="AE25" s="5" t="str">
        <f>Legacy_Backup!AB25</f>
        <v/>
      </c>
      <c r="AF25" s="5"/>
      <c r="AG25" s="5"/>
      <c r="AH25" s="5" t="str">
        <f>IF(LEFT(Legacy_Backup!AC25,1)="v",Legacy_Backup!AC25,"v"&amp;Legacy_Backup!AC25)</f>
        <v>v1.0</v>
      </c>
    </row>
    <row r="26">
      <c r="A26" s="4" t="s">
        <v>729</v>
      </c>
      <c r="B26" s="4">
        <v>8.0</v>
      </c>
      <c r="C26" s="4">
        <v>5.0</v>
      </c>
      <c r="D26" s="4" t="s">
        <v>244</v>
      </c>
      <c r="E26" s="4" t="s">
        <v>243</v>
      </c>
      <c r="F26" s="4">
        <v>25.0</v>
      </c>
      <c r="G26" s="4" t="s">
        <v>527</v>
      </c>
      <c r="H26" s="4" t="s">
        <v>528</v>
      </c>
      <c r="I26" s="4" t="s">
        <v>730</v>
      </c>
      <c r="J26" s="5" t="str">
        <f>Legacy_Backup!G26</f>
        <v>Creative Problem Solving</v>
      </c>
      <c r="K26" s="5" t="str">
        <f t="shared" si="1"/>
        <v>012</v>
      </c>
      <c r="L26" s="5" t="str">
        <f>Legacy_Backup!H26</f>
        <v>Generate a practical improvement under constraints</v>
      </c>
      <c r="M26" s="5" t="str">
        <f>IFERROR(__xludf.DUMMYFUNCTION("IF(REGEXMATCH(UPPER(Legacy_Backup!I26),""KNOW""),""Know"",IF(REGEXMATCH(UPPER(Legacy_Backup!I26),""IMAGINE|INNOVATION""),""Imagine"",""Think""))"),"Think")</f>
        <v>Think</v>
      </c>
      <c r="N26" s="5" t="str">
        <f>IFERROR(__xludf.DUMMYFUNCTION("IF(REGEXMATCH(UPPER(Legacy_Backup!J26),""FUTURE""),""Future-Oriented"",IF(REGEXMATCH(UPPER(Legacy_Backup!J26),""KNOWLEDGE""),""Knowledge-Based"",IF(REGEXMATCH(UPPER(Legacy_Backup!J26),""DECISION""),""Decision-Making"",""Situation-Based"")))"),"Situation-Based")</f>
        <v>Situation-Based</v>
      </c>
      <c r="O26" s="5" t="str">
        <f>IF(UPPER(Legacy_Backup!K26)="HARD","Difficult",PROPER(Legacy_Backup!K26))</f>
        <v>Easy</v>
      </c>
      <c r="P26" s="5" t="str">
        <f>IF(UPPER(Legacy_Backup!O26)="YES","Visual","Text")</f>
        <v>Text</v>
      </c>
      <c r="Q26" s="5" t="str">
        <f>PROPER(Legacy_Backup!O26)</f>
        <v>No</v>
      </c>
      <c r="R26" s="5" t="str">
        <f>IF(UPPER(Legacy_Backup!O26)="YES",IF(Legacy_Backup!Y26&lt;&gt;"",Legacy_Backup!Y26,"Image required"),"NA")</f>
        <v>NA</v>
      </c>
      <c r="S26" s="5" t="str">
        <f>IF(UPPER(Legacy_Backup!O26)="YES",IF(Legacy_Backup!Z26&lt;&gt;"",Legacy_Backup!Z26,"Prompt required"),"NA")</f>
        <v>NA</v>
      </c>
      <c r="T26" s="5" t="str">
        <f>IF(Legacy_Backup!L26&lt;&gt;"",PROPER(Legacy_Backup!L26),"Apply")</f>
        <v>Apply</v>
      </c>
      <c r="U26" s="5" t="str">
        <f>Legacy_Backup!P26</f>
        <v>Students need a handwashing reminder where electricity is unavailable. Which solution is most suitable?</v>
      </c>
      <c r="V26" s="5" t="str">
        <f>Legacy_Backup!Q26</f>
        <v>A waterproof flip-sign placed near the tap</v>
      </c>
      <c r="W26" s="5" t="str">
        <f>Legacy_Backup!R26</f>
        <v>A television screen with big messsage</v>
      </c>
      <c r="X26" s="5" t="str">
        <f>Legacy_Backup!S26</f>
        <v>A phone app  with sound &amp; internet</v>
      </c>
      <c r="Y26" s="5" t="str">
        <f>Legacy_Backup!T26</f>
        <v>A loudspeaker used all day with regular announcements</v>
      </c>
      <c r="Z26" s="5" t="str">
        <f>Legacy_Backup!U26</f>
        <v>A</v>
      </c>
      <c r="AA26" s="5" t="str">
        <f>Legacy_Backup!W26</f>
        <v>A waterproof flip-sign placed near the tap is the best choice because it directly applies creative problem solving to the situation and addresses the stated need with a practical, responsible action.</v>
      </c>
      <c r="AB26" s="5" t="str">
        <f>Legacy_Backup!X26</f>
        <v>Builds practical problem solving for future study, work and responsible citizenship.</v>
      </c>
      <c r="AC26" s="5" t="str">
        <f>Legacy_Backup!M26</f>
        <v>Problem Solving</v>
      </c>
      <c r="AD26" s="5" t="str">
        <f>IF(UPPER(Legacy_Backup!O26)="YES",A26&amp;".png","NA")</f>
        <v>NA</v>
      </c>
      <c r="AE26" s="5" t="str">
        <f>Legacy_Backup!AB26</f>
        <v/>
      </c>
      <c r="AF26" s="5"/>
      <c r="AG26" s="5"/>
      <c r="AH26" s="5" t="str">
        <f>IF(LEFT(Legacy_Backup!AC26,1)="v",Legacy_Backup!AC26,"v"&amp;Legacy_Backup!AC26)</f>
        <v>v1.0</v>
      </c>
    </row>
    <row r="27">
      <c r="A27" s="4" t="s">
        <v>731</v>
      </c>
      <c r="B27" s="4">
        <v>8.0</v>
      </c>
      <c r="C27" s="4">
        <v>2.0</v>
      </c>
      <c r="D27" s="4" t="s">
        <v>397</v>
      </c>
      <c r="E27" s="4" t="s">
        <v>732</v>
      </c>
      <c r="F27" s="4">
        <v>13.0</v>
      </c>
      <c r="G27" s="4" t="s">
        <v>733</v>
      </c>
      <c r="H27" s="4" t="s">
        <v>734</v>
      </c>
      <c r="I27" s="4" t="s">
        <v>735</v>
      </c>
      <c r="J27" s="5" t="str">
        <f>Legacy_Backup!G27</f>
        <v>AI Responsibility</v>
      </c>
      <c r="K27" s="5" t="str">
        <f t="shared" si="1"/>
        <v>001</v>
      </c>
      <c r="L27" s="5" t="str">
        <f>Legacy_Backup!H27</f>
        <v>Use AI transparently and responsibly</v>
      </c>
      <c r="M27" s="5" t="str">
        <f>IFERROR(__xludf.DUMMYFUNCTION("IF(REGEXMATCH(UPPER(Legacy_Backup!I27),""KNOW""),""Know"",IF(REGEXMATCH(UPPER(Legacy_Backup!I27),""IMAGINE|INNOVATION""),""Imagine"",""Think""))"),"Think")</f>
        <v>Think</v>
      </c>
      <c r="N27" s="5" t="str">
        <f>IFERROR(__xludf.DUMMYFUNCTION("IF(REGEXMATCH(UPPER(Legacy_Backup!J27),""FUTURE""),""Future-Oriented"",IF(REGEXMATCH(UPPER(Legacy_Backup!J27),""KNOWLEDGE""),""Knowledge-Based"",IF(REGEXMATCH(UPPER(Legacy_Backup!J27),""DECISION""),""Decision-Making"",""Situation-Based"")))"),"Situation-Based")</f>
        <v>Situation-Based</v>
      </c>
      <c r="O27" s="5" t="str">
        <f>IF(UPPER(Legacy_Backup!K27)="HARD","Difficult",PROPER(Legacy_Backup!K27))</f>
        <v>Easy</v>
      </c>
      <c r="P27" s="5" t="str">
        <f>IF(UPPER(Legacy_Backup!O27)="YES","Visual","Text")</f>
        <v>Text</v>
      </c>
      <c r="Q27" s="5" t="str">
        <f>PROPER(Legacy_Backup!O27)</f>
        <v>No</v>
      </c>
      <c r="R27" s="5" t="str">
        <f>IF(UPPER(Legacy_Backup!O27)="YES",IF(Legacy_Backup!Y27&lt;&gt;"",Legacy_Backup!Y27,"Image required"),"NA")</f>
        <v>NA</v>
      </c>
      <c r="S27" s="5" t="str">
        <f>IF(UPPER(Legacy_Backup!O27)="YES",IF(Legacy_Backup!Z27&lt;&gt;"",Legacy_Backup!Z27,"Prompt required"),"NA")</f>
        <v>NA</v>
      </c>
      <c r="T27" s="5" t="str">
        <f>IF(Legacy_Backup!L27&lt;&gt;"",PROPER(Legacy_Backup!L27),"Apply")</f>
        <v>Analyze</v>
      </c>
      <c r="U27" s="5" t="str">
        <f>Legacy_Backup!P27</f>
        <v>Arjun uses an AI tool to suggest ideas for his science project. What should he do?</v>
      </c>
      <c r="V27" s="5" t="str">
        <f>Legacy_Backup!Q27</f>
        <v>Submit the output from AI and boost of being smart</v>
      </c>
      <c r="W27" s="5" t="str">
        <f>Legacy_Backup!R27</f>
        <v>Verify the facts, rewrite in his words and mention AI assistance</v>
      </c>
      <c r="X27" s="5" t="str">
        <f>Legacy_Backup!S27</f>
        <v>Hide the use of AI from his teacher and use reasoning to claim own</v>
      </c>
      <c r="Y27" s="5" t="str">
        <f>Legacy_Backup!T27</f>
        <v>Give output to another AI and make it better</v>
      </c>
      <c r="Z27" s="5" t="str">
        <f>Legacy_Backup!U27</f>
        <v>B</v>
      </c>
      <c r="AA27" s="5" t="str">
        <f>Legacy_Backup!W27</f>
        <v>Check the facts, rewrite in his words and mention AI assistance is the best choice because it directly applies ai responsibility to the situation and addresses the stated need with a practical, responsible action.</v>
      </c>
      <c r="AB27" s="5" t="str">
        <f>Legacy_Backup!X27</f>
        <v>Builds practical digital readiness for future study, work and responsible citizenship.</v>
      </c>
      <c r="AC27" s="5" t="str">
        <f>Legacy_Backup!M27</f>
        <v>Digital Readiness</v>
      </c>
      <c r="AD27" s="5" t="str">
        <f>IF(UPPER(Legacy_Backup!O27)="YES",A27&amp;".png","NA")</f>
        <v>NA</v>
      </c>
      <c r="AE27" s="5" t="str">
        <f>Legacy_Backup!AB27</f>
        <v/>
      </c>
      <c r="AF27" s="5"/>
      <c r="AG27" s="5"/>
      <c r="AH27" s="5" t="str">
        <f>IF(LEFT(Legacy_Backup!AC27,1)="v",Legacy_Backup!AC27,"v"&amp;Legacy_Backup!AC27)</f>
        <v>v1.0</v>
      </c>
    </row>
    <row r="28">
      <c r="A28" s="4" t="s">
        <v>736</v>
      </c>
      <c r="B28" s="4">
        <v>8.0</v>
      </c>
      <c r="C28" s="4">
        <v>2.0</v>
      </c>
      <c r="D28" s="4" t="s">
        <v>397</v>
      </c>
      <c r="E28" s="4" t="s">
        <v>732</v>
      </c>
      <c r="F28" s="4">
        <v>15.0</v>
      </c>
      <c r="G28" s="4" t="s">
        <v>737</v>
      </c>
      <c r="H28" s="4" t="s">
        <v>738</v>
      </c>
      <c r="I28" s="4" t="s">
        <v>739</v>
      </c>
      <c r="J28" s="5" t="str">
        <f>Legacy_Backup!G28</f>
        <v>Cyber Safety</v>
      </c>
      <c r="K28" s="5" t="str">
        <f t="shared" si="1"/>
        <v>002</v>
      </c>
      <c r="L28" s="5" t="str">
        <f>Legacy_Backup!H28</f>
        <v>Respond safely to a suspicious message</v>
      </c>
      <c r="M28" s="5" t="str">
        <f>IFERROR(__xludf.DUMMYFUNCTION("IF(REGEXMATCH(UPPER(Legacy_Backup!I28),""KNOW""),""Know"",IF(REGEXMATCH(UPPER(Legacy_Backup!I28),""IMAGINE|INNOVATION""),""Imagine"",""Think""))"),"Think")</f>
        <v>Think</v>
      </c>
      <c r="N28" s="5" t="str">
        <f>IFERROR(__xludf.DUMMYFUNCTION("IF(REGEXMATCH(UPPER(Legacy_Backup!J28),""FUTURE""),""Future-Oriented"",IF(REGEXMATCH(UPPER(Legacy_Backup!J28),""KNOWLEDGE""),""Knowledge-Based"",IF(REGEXMATCH(UPPER(Legacy_Backup!J28),""DECISION""),""Decision-Making"",""Situation-Based"")))"),"Situation-Based")</f>
        <v>Situation-Based</v>
      </c>
      <c r="O28" s="5" t="str">
        <f>IF(UPPER(Legacy_Backup!K28)="HARD","Difficult",PROPER(Legacy_Backup!K28))</f>
        <v>Easy</v>
      </c>
      <c r="P28" s="5" t="str">
        <f>IF(UPPER(Legacy_Backup!O28)="YES","Visual","Text")</f>
        <v>Visual</v>
      </c>
      <c r="Q28" s="5" t="str">
        <f>PROPER(Legacy_Backup!O28)</f>
        <v>Yes</v>
      </c>
      <c r="R28" s="5" t="str">
        <f>IF(UPPER(Legacy_Backup!O28)="YES",IF(Legacy_Backup!Y28&lt;&gt;"",Legacy_Backup!Y28,"Image required"),"NA")</f>
        <v>A clean Grade 8 educational table or chart illustrating: A message says, “Your game account will close in 10 minutes—send your password now.” What is the safest response?</v>
      </c>
      <c r="S28" s="5" t="str">
        <f>IF(UPPER(Legacy_Backup!O28)="YES",IF(Legacy_Backup!Z28&lt;&gt;"",Legacy_Backup!Z28,"Prompt required"),"NA")</f>
        <v>Create a clear, age-appropriate educational visual for Grade 8. Show only the information needed for this MCQ: A message says, “Your game account will close in 10 minutes—send your password now.” What is the safest response? Use a light background, simple labels, high contrast, no answer clues, landscape 4:3.</v>
      </c>
      <c r="T28" s="5" t="str">
        <f>IF(Legacy_Backup!L28&lt;&gt;"",PROPER(Legacy_Backup!L28),"Apply")</f>
        <v>Analyze</v>
      </c>
      <c r="U28" s="5" t="str">
        <f>Legacy_Backup!P28</f>
        <v>Abhishek receives this message on his mobile phone (refer to the image). What is the safest response?</v>
      </c>
      <c r="V28" s="5" t="str">
        <f>Legacy_Backup!Q28</f>
        <v>Send only half the password</v>
      </c>
      <c r="W28" s="5" t="str">
        <f>Legacy_Backup!R28</f>
        <v>Forward it to friends</v>
      </c>
      <c r="X28" s="5" t="str">
        <f>Legacy_Backup!S28</f>
        <v>Do not reply; verify the message</v>
      </c>
      <c r="Y28" s="5" t="str">
        <f>Legacy_Backup!T28</f>
        <v>Click the link to see what happens</v>
      </c>
      <c r="Z28" s="5" t="str">
        <f>Legacy_Backup!U28</f>
        <v>C</v>
      </c>
      <c r="AA28" s="5" t="str">
        <f>Legacy_Backup!W28</f>
        <v>Do not reply; report and verify through the official app is the best choice because it directly applies cyber safety to the situation and addresses the stated need with a practical, responsible action.</v>
      </c>
      <c r="AB28" s="5" t="str">
        <f>Legacy_Backup!X28</f>
        <v>Builds practical digital readiness for future study, work and responsible citizenship.</v>
      </c>
      <c r="AC28" s="5" t="str">
        <f>Legacy_Backup!M28</f>
        <v>Digital Readiness</v>
      </c>
      <c r="AD28" s="5" t="str">
        <f>IF(UPPER(Legacy_Backup!O28)="YES",A28&amp;".png","NA")</f>
        <v>08_ETD_DSC_002.png</v>
      </c>
      <c r="AE28" s="5" t="str">
        <f>Legacy_Backup!AB28</f>
        <v/>
      </c>
      <c r="AF28" s="5"/>
      <c r="AG28" s="5"/>
      <c r="AH28" s="5" t="str">
        <f>IF(LEFT(Legacy_Backup!AC28,1)="v",Legacy_Backup!AC28,"v"&amp;Legacy_Backup!AC28)</f>
        <v>v1.0</v>
      </c>
    </row>
    <row r="29">
      <c r="A29" s="4" t="s">
        <v>740</v>
      </c>
      <c r="B29" s="4">
        <v>8.0</v>
      </c>
      <c r="C29" s="4">
        <v>2.0</v>
      </c>
      <c r="D29" s="4" t="s">
        <v>397</v>
      </c>
      <c r="E29" s="4" t="s">
        <v>732</v>
      </c>
      <c r="F29" s="4">
        <v>11.0</v>
      </c>
      <c r="G29" s="4" t="s">
        <v>428</v>
      </c>
      <c r="H29" s="4" t="s">
        <v>426</v>
      </c>
      <c r="I29" s="4" t="s">
        <v>741</v>
      </c>
      <c r="J29" s="5" t="str">
        <f>Legacy_Backup!G29</f>
        <v>Flowcharts</v>
      </c>
      <c r="K29" s="5" t="str">
        <f t="shared" si="1"/>
        <v>003</v>
      </c>
      <c r="L29" s="5" t="str">
        <f>Legacy_Backup!H29</f>
        <v>Apply computational thinking to design a simple solution</v>
      </c>
      <c r="M29" s="5" t="str">
        <f>IFERROR(__xludf.DUMMYFUNCTION("IF(REGEXMATCH(UPPER(Legacy_Backup!I29),""KNOW""),""Know"",IF(REGEXMATCH(UPPER(Legacy_Backup!I29),""IMAGINE|INNOVATION""),""Imagine"",""Think""))"),"Imagine")</f>
        <v>Imagine</v>
      </c>
      <c r="N29" s="5" t="str">
        <f>IFERROR(__xludf.DUMMYFUNCTION("IF(REGEXMATCH(UPPER(Legacy_Backup!J29),""FUTURE""),""Future-Oriented"",IF(REGEXMATCH(UPPER(Legacy_Backup!J29),""KNOWLEDGE""),""Knowledge-Based"",IF(REGEXMATCH(UPPER(Legacy_Backup!J29),""DECISION""),""Decision-Making"",""Situation-Based"")))"),"Future-Oriented")</f>
        <v>Future-Oriented</v>
      </c>
      <c r="O29" s="5" t="str">
        <f>IF(UPPER(Legacy_Backup!K29)="HARD","Difficult",PROPER(Legacy_Backup!K29))</f>
        <v>Difficult</v>
      </c>
      <c r="P29" s="5" t="str">
        <f>IF(UPPER(Legacy_Backup!O29)="YES","Visual","Text")</f>
        <v>Visual</v>
      </c>
      <c r="Q29" s="5" t="str">
        <f>PROPER(Legacy_Backup!O29)</f>
        <v>Yes</v>
      </c>
      <c r="R29" s="5" t="str">
        <f>IF(UPPER(Legacy_Backup!O29)="YES",IF(Legacy_Backup!Y29&lt;&gt;"",Legacy_Backup!Y29,"Image required"),"NA")</f>
        <v>An illustration showing a young Indian student standing next to a whiteboard. On the whiteboard, there is a simple flowchart with boxes and arrows showing steps: "Start" at the top, then an arrow to a diamond-shaped box with text "Is it raining?" Inside the diamond, there are two arrows coming out. One arrow labelled "Yes" leads to a rectangular box saying "Take umbrella". The other arrow labelled "No" leads to a rectangular box saying "Go outside". Both paths then join and lead to a final box saying "End". The student is pointing at the flowchart with a marker in hand. The background shows a classroom setting with a window showing a cloudy sky.</v>
      </c>
      <c r="S29" s="5" t="str">
        <f>IF(UPPER(Legacy_Backup!O29)="YES",IF(Legacy_Backup!Z29&lt;&gt;"",Legacy_Backup!Z29,"Prompt required"),"NA")</f>
        <v>A colorful cartoon-style illustration of a 14-year-old Indian student standing next to a whiteboard in a classroom. On the whiteboard, a simple flowchart is drawn with boxes and arrows showing: "Start" at the top, then an arrow to a diamond-shaped box with text "Is it raining?" Inside the diamond, two arrows come out—one labelled "Yes" leading to a rectangular box "Take umbrella" and one labelled "No" leading to a rectangular box "Go outside". Both paths then join and lead to a final box "End". The student is pointing at the flowchart with a marker. The background shows a classroom with desks and a window with a cloudy sky. Bright, engaging, educational style for 14-year-olds.</v>
      </c>
      <c r="T29" s="5" t="str">
        <f>IF(Legacy_Backup!L29&lt;&gt;"",PROPER(Legacy_Backup!L29),"Apply")</f>
        <v>Apply</v>
      </c>
      <c r="U29" s="5" t="str">
        <f>Legacy_Backup!P29</f>
        <v>Look at the flowchart on the whiteboard. What decision does this flowchart help the student make?</v>
      </c>
      <c r="V29" s="5" t="str">
        <f>Legacy_Backup!Q29</f>
        <v>Enjoy the rain and go out</v>
      </c>
      <c r="W29" s="5" t="str">
        <f>Legacy_Backup!R29</f>
        <v>Whether to take an umbrella before going outside</v>
      </c>
      <c r="X29" s="5" t="str">
        <f>Legacy_Backup!S29</f>
        <v>Which umbrealla is best to use</v>
      </c>
      <c r="Y29" s="5" t="str">
        <f>Legacy_Backup!T29</f>
        <v>What time to leave for school in the morning</v>
      </c>
      <c r="Z29" s="5" t="str">
        <f>Legacy_Backup!U29</f>
        <v>B</v>
      </c>
      <c r="AA29" s="5" t="str">
        <f>Legacy_Backup!W29</f>
        <v>The flowchart shows a clear decision: if it is raining, take an umbrella; if not, go outside without one—helping decide whether to carry an umbrella.</v>
      </c>
      <c r="AB29" s="5" t="str">
        <f>Legacy_Backup!X29</f>
        <v>Flowcharts are visual tools used in coding and planning to map out decisions and processes—helping you think clearly before taking action.</v>
      </c>
      <c r="AC29" s="5" t="str">
        <f>Legacy_Backup!M29</f>
        <v>Ability to read and interpret flowcharts</v>
      </c>
      <c r="AD29" s="5" t="str">
        <f>IF(UPPER(Legacy_Backup!O29)="YES",A29&amp;".png","NA")</f>
        <v>08_ETD_CTL_003.png</v>
      </c>
      <c r="AE29" s="5" t="str">
        <f>Legacy_Backup!AB29</f>
        <v/>
      </c>
      <c r="AF29" s="5"/>
      <c r="AG29" s="5"/>
      <c r="AH29" s="5" t="str">
        <f>IF(LEFT(Legacy_Backup!AC29,1)="v",Legacy_Backup!AC29,"v"&amp;Legacy_Backup!AC29)</f>
        <v>v1.0</v>
      </c>
    </row>
    <row r="30">
      <c r="A30" s="4" t="s">
        <v>742</v>
      </c>
      <c r="B30" s="4">
        <v>8.0</v>
      </c>
      <c r="C30" s="4">
        <v>2.0</v>
      </c>
      <c r="D30" s="4" t="s">
        <v>397</v>
      </c>
      <c r="E30" s="4" t="s">
        <v>732</v>
      </c>
      <c r="F30" s="4">
        <v>15.0</v>
      </c>
      <c r="G30" s="4" t="s">
        <v>737</v>
      </c>
      <c r="H30" s="4" t="s">
        <v>738</v>
      </c>
      <c r="I30" s="4" t="s">
        <v>743</v>
      </c>
      <c r="J30" s="5" t="str">
        <f>Legacy_Backup!G30</f>
        <v>Digital Privacy</v>
      </c>
      <c r="K30" s="5" t="str">
        <f t="shared" si="1"/>
        <v>004</v>
      </c>
      <c r="L30" s="5" t="str">
        <f>Legacy_Backup!H30</f>
        <v>Choose privacy-protecting settings</v>
      </c>
      <c r="M30" s="5" t="str">
        <f>IFERROR(__xludf.DUMMYFUNCTION("IF(REGEXMATCH(UPPER(Legacy_Backup!I30),""KNOW""),""Know"",IF(REGEXMATCH(UPPER(Legacy_Backup!I30),""IMAGINE|INNOVATION""),""Imagine"",""Think""))"),"Think")</f>
        <v>Think</v>
      </c>
      <c r="N30" s="5" t="str">
        <f>IFERROR(__xludf.DUMMYFUNCTION("IF(REGEXMATCH(UPPER(Legacy_Backup!J30),""FUTURE""),""Future-Oriented"",IF(REGEXMATCH(UPPER(Legacy_Backup!J30),""KNOWLEDGE""),""Knowledge-Based"",IF(REGEXMATCH(UPPER(Legacy_Backup!J30),""DECISION""),""Decision-Making"",""Situation-Based"")))"),"Situation-Based")</f>
        <v>Situation-Based</v>
      </c>
      <c r="O30" s="5" t="str">
        <f>IF(UPPER(Legacy_Backup!K30)="HARD","Difficult",PROPER(Legacy_Backup!K30))</f>
        <v>Easy</v>
      </c>
      <c r="P30" s="5" t="str">
        <f>IF(UPPER(Legacy_Backup!O30)="YES","Visual","Text")</f>
        <v>Text</v>
      </c>
      <c r="Q30" s="5" t="str">
        <f>PROPER(Legacy_Backup!O30)</f>
        <v>No</v>
      </c>
      <c r="R30" s="5" t="str">
        <f>IF(UPPER(Legacy_Backup!O30)="YES",IF(Legacy_Backup!Y30&lt;&gt;"",Legacy_Backup!Y30,"Image required"),"NA")</f>
        <v>NA</v>
      </c>
      <c r="S30" s="5" t="str">
        <f>IF(UPPER(Legacy_Backup!O30)="YES",IF(Legacy_Backup!Z30&lt;&gt;"",Legacy_Backup!Z30,"Prompt required"),"NA")</f>
        <v>NA</v>
      </c>
      <c r="T30" s="5" t="str">
        <f>IF(Legacy_Backup!L30&lt;&gt;"",PROPER(Legacy_Backup!L30),"Apply")</f>
        <v>Evaluate</v>
      </c>
      <c r="U30" s="5" t="str">
        <f>Legacy_Backup!P30</f>
        <v>Pooja's social media profile shows her phone number, home address, school name and hobby visible publicly. Which change is most important?</v>
      </c>
      <c r="V30" s="5" t="str">
        <f>Legacy_Backup!Q30</f>
        <v>Hide personal contact and location details</v>
      </c>
      <c r="W30" s="5" t="str">
        <f>Legacy_Backup!R30</f>
        <v>Add more photographs and interests</v>
      </c>
      <c r="X30" s="5" t="str">
        <f>Legacy_Backup!S30</f>
        <v>Use a brighter &amp; recent profile picture </v>
      </c>
      <c r="Y30" s="5" t="str">
        <f>Legacy_Backup!T30</f>
        <v>Invite friends to share their contact numbers &amp; photos </v>
      </c>
      <c r="Z30" s="5" t="str">
        <f>Legacy_Backup!U30</f>
        <v>A</v>
      </c>
      <c r="AA30" s="5" t="str">
        <f>Legacy_Backup!W30</f>
        <v>Hide personal contact and location details is the best choice because it directly applies digital privacy to the situation and addresses the stated need with a practical, responsible action.</v>
      </c>
      <c r="AB30" s="5" t="str">
        <f>Legacy_Backup!X30</f>
        <v>Builds practical digital readiness for future study, work and responsible citizenship.</v>
      </c>
      <c r="AC30" s="5" t="str">
        <f>Legacy_Backup!M30</f>
        <v>Digital Readiness</v>
      </c>
      <c r="AD30" s="5" t="str">
        <f>IF(UPPER(Legacy_Backup!O30)="YES",A30&amp;".png","NA")</f>
        <v>NA</v>
      </c>
      <c r="AE30" s="5" t="str">
        <f>Legacy_Backup!AB30</f>
        <v/>
      </c>
      <c r="AF30" s="5"/>
      <c r="AG30" s="5"/>
      <c r="AH30" s="5" t="str">
        <f>IF(LEFT(Legacy_Backup!AC30,1)="v",Legacy_Backup!AC30,"v"&amp;Legacy_Backup!AC30)</f>
        <v>v1.0</v>
      </c>
    </row>
    <row r="31">
      <c r="A31" s="4" t="s">
        <v>744</v>
      </c>
      <c r="B31" s="4">
        <v>8.0</v>
      </c>
      <c r="C31" s="4">
        <v>2.0</v>
      </c>
      <c r="D31" s="4" t="s">
        <v>397</v>
      </c>
      <c r="E31" s="4" t="s">
        <v>732</v>
      </c>
      <c r="F31" s="4">
        <v>11.0</v>
      </c>
      <c r="G31" s="4" t="s">
        <v>428</v>
      </c>
      <c r="H31" s="4" t="s">
        <v>426</v>
      </c>
      <c r="I31" s="4" t="s">
        <v>745</v>
      </c>
      <c r="J31" s="5" t="str">
        <f>Legacy_Backup!G31</f>
        <v>Computational Thinking</v>
      </c>
      <c r="K31" s="5" t="str">
        <f t="shared" si="1"/>
        <v>005</v>
      </c>
      <c r="L31" s="5" t="str">
        <f>Legacy_Backup!H31</f>
        <v>Break a task into logical steps</v>
      </c>
      <c r="M31" s="5" t="str">
        <f>IFERROR(__xludf.DUMMYFUNCTION("IF(REGEXMATCH(UPPER(Legacy_Backup!I31),""KNOW""),""Know"",IF(REGEXMATCH(UPPER(Legacy_Backup!I31),""IMAGINE|INNOVATION""),""Imagine"",""Think""))"),"Imagine")</f>
        <v>Imagine</v>
      </c>
      <c r="N31" s="5" t="str">
        <f>IFERROR(__xludf.DUMMYFUNCTION("IF(REGEXMATCH(UPPER(Legacy_Backup!J31),""FUTURE""),""Future-Oriented"",IF(REGEXMATCH(UPPER(Legacy_Backup!J31),""KNOWLEDGE""),""Knowledge-Based"",IF(REGEXMATCH(UPPER(Legacy_Backup!J31),""DECISION""),""Decision-Making"",""Situation-Based"")))"),"Situation-Based")</f>
        <v>Situation-Based</v>
      </c>
      <c r="O31" s="5" t="str">
        <f>IF(UPPER(Legacy_Backup!K31)="HARD","Difficult",PROPER(Legacy_Backup!K31))</f>
        <v>Easy</v>
      </c>
      <c r="P31" s="5" t="str">
        <f>IF(UPPER(Legacy_Backup!O31)="YES","Visual","Text")</f>
        <v>Text</v>
      </c>
      <c r="Q31" s="5" t="str">
        <f>PROPER(Legacy_Backup!O31)</f>
        <v>No</v>
      </c>
      <c r="R31" s="5" t="str">
        <f>IF(UPPER(Legacy_Backup!O31)="YES",IF(Legacy_Backup!Y31&lt;&gt;"",Legacy_Backup!Y31,"Image required"),"NA")</f>
        <v>NA</v>
      </c>
      <c r="S31" s="5" t="str">
        <f>IF(UPPER(Legacy_Backup!O31)="YES",IF(Legacy_Backup!Z31&lt;&gt;"",Legacy_Backup!Z31,"Prompt required"),"NA")</f>
        <v>NA</v>
      </c>
      <c r="T31" s="5" t="str">
        <f>IF(Legacy_Backup!L31&lt;&gt;"",PROPER(Legacy_Backup!L31),"Apply")</f>
        <v>Create</v>
      </c>
      <c r="U31" s="5" t="str">
        <f>Legacy_Backup!P31</f>
        <v>A robot must collect paper, avoid chairs and reach a bin. What should the programmer do first?</v>
      </c>
      <c r="V31" s="5" t="str">
        <f>Legacy_Backup!Q31</f>
        <v>Write one long command and run the robot</v>
      </c>
      <c r="W31" s="5" t="str">
        <f>Legacy_Backup!R31</f>
        <v>Break the task into smaller steps (sense, avoid, move)</v>
      </c>
      <c r="X31" s="5" t="str">
        <f>Legacy_Backup!S31</f>
        <v>Study and remove non useful sensors</v>
      </c>
      <c r="Y31" s="5" t="str">
        <f>Legacy_Backup!T31</f>
        <v>Ask the robot to guess and operate on own</v>
      </c>
      <c r="Z31" s="5" t="str">
        <f>Legacy_Backup!U31</f>
        <v>B</v>
      </c>
      <c r="AA31" s="5" t="str">
        <f>Legacy_Backup!W31</f>
        <v>Break the task into sense, move, avoid and drop steps is the best choice because it directly applies computational thinking to the situation and addresses the stated need with a practical, responsible action.</v>
      </c>
      <c r="AB31" s="5" t="str">
        <f>Legacy_Backup!X31</f>
        <v>Builds practical digital readiness for future study, work and responsible citizenship.</v>
      </c>
      <c r="AC31" s="5" t="str">
        <f>Legacy_Backup!M31</f>
        <v>Digital Readiness</v>
      </c>
      <c r="AD31" s="5" t="str">
        <f>IF(UPPER(Legacy_Backup!O31)="YES",A31&amp;".png","NA")</f>
        <v>NA</v>
      </c>
      <c r="AE31" s="5" t="str">
        <f>Legacy_Backup!AB31</f>
        <v/>
      </c>
      <c r="AF31" s="5"/>
      <c r="AG31" s="5"/>
      <c r="AH31" s="5" t="str">
        <f>IF(LEFT(Legacy_Backup!AC31,1)="v",Legacy_Backup!AC31,"v"&amp;Legacy_Backup!AC31)</f>
        <v>v1.0</v>
      </c>
    </row>
    <row r="32">
      <c r="A32" s="4" t="s">
        <v>746</v>
      </c>
      <c r="B32" s="4">
        <v>8.0</v>
      </c>
      <c r="C32" s="4">
        <v>2.0</v>
      </c>
      <c r="D32" s="4" t="s">
        <v>397</v>
      </c>
      <c r="E32" s="4" t="s">
        <v>732</v>
      </c>
      <c r="F32" s="4">
        <v>16.0</v>
      </c>
      <c r="G32" s="4" t="s">
        <v>747</v>
      </c>
      <c r="H32" s="4" t="s">
        <v>748</v>
      </c>
      <c r="I32" s="4" t="s">
        <v>749</v>
      </c>
      <c r="J32" s="5" t="str">
        <f>Legacy_Backup!G32</f>
        <v>Technology for Inclusion</v>
      </c>
      <c r="K32" s="5" t="str">
        <f t="shared" si="1"/>
        <v>006</v>
      </c>
      <c r="L32" s="5" t="str">
        <f>Legacy_Backup!H32</f>
        <v>Select technology that improves accessibility</v>
      </c>
      <c r="M32" s="5" t="str">
        <f>IFERROR(__xludf.DUMMYFUNCTION("IF(REGEXMATCH(UPPER(Legacy_Backup!I32),""KNOW""),""Know"",IF(REGEXMATCH(UPPER(Legacy_Backup!I32),""IMAGINE|INNOVATION""),""Imagine"",""Think""))"),"Think")</f>
        <v>Think</v>
      </c>
      <c r="N32" s="5" t="str">
        <f>IFERROR(__xludf.DUMMYFUNCTION("IF(REGEXMATCH(UPPER(Legacy_Backup!J32),""FUTURE""),""Future-Oriented"",IF(REGEXMATCH(UPPER(Legacy_Backup!J32),""KNOWLEDGE""),""Knowledge-Based"",IF(REGEXMATCH(UPPER(Legacy_Backup!J32),""DECISION""),""Decision-Making"",""Situation-Based"")))"),"Situation-Based")</f>
        <v>Situation-Based</v>
      </c>
      <c r="O32" s="5" t="str">
        <f>IF(UPPER(Legacy_Backup!K32)="HARD","Difficult",PROPER(Legacy_Backup!K32))</f>
        <v>Easy</v>
      </c>
      <c r="P32" s="5" t="str">
        <f>IF(UPPER(Legacy_Backup!O32)="YES","Visual","Text")</f>
        <v>Text</v>
      </c>
      <c r="Q32" s="5" t="str">
        <f>PROPER(Legacy_Backup!O32)</f>
        <v>No</v>
      </c>
      <c r="R32" s="5" t="str">
        <f>IF(UPPER(Legacy_Backup!O32)="YES",IF(Legacy_Backup!Y32&lt;&gt;"",Legacy_Backup!Y32,"Image required"),"NA")</f>
        <v>NA</v>
      </c>
      <c r="S32" s="5" t="str">
        <f>IF(UPPER(Legacy_Backup!O32)="YES",IF(Legacy_Backup!Z32&lt;&gt;"",Legacy_Backup!Z32,"Prompt required"),"NA")</f>
        <v>NA</v>
      </c>
      <c r="T32" s="5" t="str">
        <f>IF(Legacy_Backup!L32&lt;&gt;"",PROPER(Legacy_Backup!L32),"Apply")</f>
        <v>Apply</v>
      </c>
      <c r="U32" s="5" t="str">
        <f>Legacy_Backup!P32</f>
        <v>Which feature best helps a visually impaired student use a learning website?</v>
      </c>
      <c r="V32" s="5" t="str">
        <f>Legacy_Backup!Q32</f>
        <v>Flashing advertisements</v>
      </c>
      <c r="W32" s="5" t="str">
        <f>Legacy_Backup!R32</f>
        <v>Tiny decorative text</v>
      </c>
      <c r="X32" s="5" t="str">
        <f>Legacy_Backup!S32</f>
        <v>Screen-reader labels and keyboard navigation</v>
      </c>
      <c r="Y32" s="5" t="str">
        <f>Legacy_Backup!T32</f>
        <v>Automatic video sound</v>
      </c>
      <c r="Z32" s="5" t="str">
        <f>Legacy_Backup!U32</f>
        <v>C</v>
      </c>
      <c r="AA32" s="5" t="str">
        <f>Legacy_Backup!W32</f>
        <v>Screen-reader labels and keyboard navigation is the best choice because it directly applies technology for inclusion to the situation and addresses the stated need with a practical, responsible action.</v>
      </c>
      <c r="AB32" s="5" t="str">
        <f>Legacy_Backup!X32</f>
        <v>Builds practical digital readiness for future study, work and responsible citizenship.</v>
      </c>
      <c r="AC32" s="5" t="str">
        <f>Legacy_Backup!M32</f>
        <v>Digital Readiness</v>
      </c>
      <c r="AD32" s="5" t="str">
        <f>IF(UPPER(Legacy_Backup!O32)="YES",A32&amp;".png","NA")</f>
        <v>NA</v>
      </c>
      <c r="AE32" s="5" t="str">
        <f>Legacy_Backup!AB32</f>
        <v/>
      </c>
      <c r="AF32" s="5"/>
      <c r="AG32" s="5"/>
      <c r="AH32" s="5" t="str">
        <f>IF(LEFT(Legacy_Backup!AC32,1)="v",Legacy_Backup!AC32,"v"&amp;Legacy_Backup!AC32)</f>
        <v>v1.0</v>
      </c>
    </row>
    <row r="33">
      <c r="A33" s="4" t="s">
        <v>750</v>
      </c>
      <c r="B33" s="4">
        <v>8.0</v>
      </c>
      <c r="C33" s="4">
        <v>2.0</v>
      </c>
      <c r="D33" s="4" t="s">
        <v>397</v>
      </c>
      <c r="E33" s="4" t="s">
        <v>732</v>
      </c>
      <c r="F33" s="4">
        <v>16.0</v>
      </c>
      <c r="G33" s="4" t="s">
        <v>747</v>
      </c>
      <c r="H33" s="4" t="s">
        <v>748</v>
      </c>
      <c r="I33" s="4" t="s">
        <v>751</v>
      </c>
      <c r="J33" s="5" t="str">
        <f>Legacy_Backup!G33</f>
        <v>Misinformation Detection</v>
      </c>
      <c r="K33" s="5" t="str">
        <f t="shared" si="1"/>
        <v>007</v>
      </c>
      <c r="L33" s="5" t="str">
        <f>Legacy_Backup!H33</f>
        <v>Verify an online claim before sharing</v>
      </c>
      <c r="M33" s="5" t="str">
        <f>IFERROR(__xludf.DUMMYFUNCTION("IF(REGEXMATCH(UPPER(Legacy_Backup!I33),""KNOW""),""Know"",IF(REGEXMATCH(UPPER(Legacy_Backup!I33),""IMAGINE|INNOVATION""),""Imagine"",""Think""))"),"Think")</f>
        <v>Think</v>
      </c>
      <c r="N33" s="5" t="str">
        <f>IFERROR(__xludf.DUMMYFUNCTION("IF(REGEXMATCH(UPPER(Legacy_Backup!J33),""FUTURE""),""Future-Oriented"",IF(REGEXMATCH(UPPER(Legacy_Backup!J33),""KNOWLEDGE""),""Knowledge-Based"",IF(REGEXMATCH(UPPER(Legacy_Backup!J33),""DECISION""),""Decision-Making"",""Situation-Based"")))"),"Situation-Based")</f>
        <v>Situation-Based</v>
      </c>
      <c r="O33" s="5" t="str">
        <f>IF(UPPER(Legacy_Backup!K33)="HARD","Difficult",PROPER(Legacy_Backup!K33))</f>
        <v>Easy</v>
      </c>
      <c r="P33" s="5" t="str">
        <f>IF(UPPER(Legacy_Backup!O33)="YES","Visual","Text")</f>
        <v>Text</v>
      </c>
      <c r="Q33" s="5" t="str">
        <f>PROPER(Legacy_Backup!O33)</f>
        <v>No</v>
      </c>
      <c r="R33" s="5" t="str">
        <f>IF(UPPER(Legacy_Backup!O33)="YES",IF(Legacy_Backup!Y33&lt;&gt;"",Legacy_Backup!Y33,"Image required"),"NA")</f>
        <v>NA</v>
      </c>
      <c r="S33" s="5" t="str">
        <f>IF(UPPER(Legacy_Backup!O33)="YES",IF(Legacy_Backup!Z33&lt;&gt;"",Legacy_Backup!Z33,"Prompt required"),"NA")</f>
        <v>NA</v>
      </c>
      <c r="T33" s="5" t="str">
        <f>IF(Legacy_Backup!L33&lt;&gt;"",PROPER(Legacy_Backup!L33),"Apply")</f>
        <v>Analyze</v>
      </c>
      <c r="U33" s="5" t="str">
        <f>Legacy_Backup!P33</f>
        <v>A viral post claims school is closed, but gives no source. What should a student do?</v>
      </c>
      <c r="V33" s="5" t="str">
        <f>Legacy_Backup!Q33</f>
        <v>Share it quickly</v>
      </c>
      <c r="W33" s="5" t="str">
        <f>Legacy_Backup!R33</f>
        <v>Believe it because many people liked it</v>
      </c>
      <c r="X33" s="5" t="str">
        <f>Legacy_Backup!S33</f>
        <v>Add an exciting caption</v>
      </c>
      <c r="Y33" s="5" t="str">
        <f>Legacy_Backup!T33</f>
        <v>Check the official school channel before sharing</v>
      </c>
      <c r="Z33" s="5" t="str">
        <f>Legacy_Backup!U33</f>
        <v>D</v>
      </c>
      <c r="AA33" s="5" t="str">
        <f>Legacy_Backup!W33</f>
        <v>Check the official school channel before sharing is the best choice because it directly applies misinformation detection to the situation and addresses the stated need with a practical, responsible action.</v>
      </c>
      <c r="AB33" s="5" t="str">
        <f>Legacy_Backup!X33</f>
        <v>Builds practical digital readiness for future study, work and responsible citizenship.</v>
      </c>
      <c r="AC33" s="5" t="str">
        <f>Legacy_Backup!M33</f>
        <v>Digital Readiness</v>
      </c>
      <c r="AD33" s="5" t="str">
        <f>IF(UPPER(Legacy_Backup!O33)="YES",A33&amp;".png","NA")</f>
        <v>NA</v>
      </c>
      <c r="AE33" s="5" t="str">
        <f>Legacy_Backup!AB33</f>
        <v/>
      </c>
      <c r="AF33" s="5"/>
      <c r="AG33" s="5"/>
      <c r="AH33" s="5" t="str">
        <f>IF(LEFT(Legacy_Backup!AC33,1)="v",Legacy_Backup!AC33,"v"&amp;Legacy_Backup!AC33)</f>
        <v>v1.0</v>
      </c>
    </row>
    <row r="34">
      <c r="A34" s="4" t="s">
        <v>752</v>
      </c>
      <c r="B34" s="4">
        <v>8.0</v>
      </c>
      <c r="C34" s="4">
        <v>2.0</v>
      </c>
      <c r="D34" s="4" t="s">
        <v>397</v>
      </c>
      <c r="E34" s="4" t="s">
        <v>732</v>
      </c>
      <c r="F34" s="4">
        <v>15.0</v>
      </c>
      <c r="G34" s="4" t="s">
        <v>737</v>
      </c>
      <c r="H34" s="4" t="s">
        <v>738</v>
      </c>
      <c r="I34" s="4" t="s">
        <v>753</v>
      </c>
      <c r="J34" s="5" t="str">
        <f>Legacy_Backup!G34</f>
        <v>Digital Footprint</v>
      </c>
      <c r="K34" s="5" t="str">
        <f t="shared" si="1"/>
        <v>008</v>
      </c>
      <c r="L34" s="5" t="str">
        <f>Legacy_Backup!H34</f>
        <v>Recognise the long-term effect of online actions</v>
      </c>
      <c r="M34" s="5" t="str">
        <f>IFERROR(__xludf.DUMMYFUNCTION("IF(REGEXMATCH(UPPER(Legacy_Backup!I34),""KNOW""),""Know"",IF(REGEXMATCH(UPPER(Legacy_Backup!I34),""IMAGINE|INNOVATION""),""Imagine"",""Think""))"),"Think")</f>
        <v>Think</v>
      </c>
      <c r="N34" s="5" t="str">
        <f>IFERROR(__xludf.DUMMYFUNCTION("IF(REGEXMATCH(UPPER(Legacy_Backup!J34),""FUTURE""),""Future-Oriented"",IF(REGEXMATCH(UPPER(Legacy_Backup!J34),""KNOWLEDGE""),""Knowledge-Based"",IF(REGEXMATCH(UPPER(Legacy_Backup!J34),""DECISION""),""Decision-Making"",""Situation-Based"")))"),"Situation-Based")</f>
        <v>Situation-Based</v>
      </c>
      <c r="O34" s="5" t="str">
        <f>IF(UPPER(Legacy_Backup!K34)="HARD","Difficult",PROPER(Legacy_Backup!K34))</f>
        <v>Easy</v>
      </c>
      <c r="P34" s="5" t="str">
        <f>IF(UPPER(Legacy_Backup!O34)="YES","Visual","Text")</f>
        <v>Visual</v>
      </c>
      <c r="Q34" s="5" t="str">
        <f>PROPER(Legacy_Backup!O34)</f>
        <v>Yes</v>
      </c>
      <c r="R34" s="5" t="str">
        <f>IF(UPPER(Legacy_Backup!O34)="YES",IF(Legacy_Backup!Y34&lt;&gt;"",Legacy_Backup!Y34,"Image required"),"NA")</f>
        <v>A clean Grade 8 educational table or chart illustrating: A diagram shows a post being copied, screenshotted and forwarded. What lesson does it communicate?</v>
      </c>
      <c r="S34" s="5" t="str">
        <f>IF(UPPER(Legacy_Backup!O34)="YES",IF(Legacy_Backup!Z34&lt;&gt;"",Legacy_Backup!Z34,"Prompt required"),"NA")</f>
        <v>Create a clear, age-appropriate educational visual for Grade 8. Show only the information needed for this MCQ: A diagram shows a post being copied, screenshotted and forwarded. What lesson does it communicate? Use a light background, simple labels, high contrast, no answer clues, landscape 4:3.</v>
      </c>
      <c r="T34" s="5" t="str">
        <f>IF(Legacy_Backup!L34&lt;&gt;"",PROPER(Legacy_Backup!L34),"Apply")</f>
        <v>Analyze</v>
      </c>
      <c r="U34" s="5" t="str">
        <f>Legacy_Backup!P34</f>
        <v>A person does this- copied, screenshotted and forwards a social media post. What lesson does it communicate?</v>
      </c>
      <c r="V34" s="5" t="str">
        <f>Legacy_Backup!Q34</f>
        <v>Online posts can remain and spread even after deletion</v>
      </c>
      <c r="W34" s="5" t="str">
        <f>Legacy_Backup!R34</f>
        <v>Deleted posts always disappear everywhere</v>
      </c>
      <c r="X34" s="5" t="str">
        <f>Legacy_Backup!S34</f>
        <v>Only famous people have digital footprints</v>
      </c>
      <c r="Y34" s="5" t="str">
        <f>Legacy_Backup!T34</f>
        <v>Screenshots cannot be shared</v>
      </c>
      <c r="Z34" s="5" t="str">
        <f>Legacy_Backup!U34</f>
        <v>A</v>
      </c>
      <c r="AA34" s="5" t="str">
        <f>Legacy_Backup!W34</f>
        <v>Online posts can remain and spread even after deletion is the best choice because it directly applies digital footprint to the situation and addresses the stated need with a practical, responsible action.</v>
      </c>
      <c r="AB34" s="5" t="str">
        <f>Legacy_Backup!X34</f>
        <v>Builds practical digital readiness for future study, work and responsible citizenship.</v>
      </c>
      <c r="AC34" s="5" t="str">
        <f>Legacy_Backup!M34</f>
        <v>Digital Readiness</v>
      </c>
      <c r="AD34" s="5" t="str">
        <f>IF(UPPER(Legacy_Backup!O34)="YES",A34&amp;".png","NA")</f>
        <v>08_ETD_DSC_008.png</v>
      </c>
      <c r="AE34" s="5" t="str">
        <f>Legacy_Backup!AB34</f>
        <v/>
      </c>
      <c r="AF34" s="5"/>
      <c r="AG34" s="5"/>
      <c r="AH34" s="5" t="str">
        <f>IF(LEFT(Legacy_Backup!AC34,1)="v",Legacy_Backup!AC34,"v"&amp;Legacy_Backup!AC34)</f>
        <v>v1.0</v>
      </c>
    </row>
    <row r="35">
      <c r="A35" s="4" t="s">
        <v>754</v>
      </c>
      <c r="B35" s="4">
        <v>8.0</v>
      </c>
      <c r="C35" s="4">
        <v>2.0</v>
      </c>
      <c r="D35" s="4" t="s">
        <v>397</v>
      </c>
      <c r="E35" s="4" t="s">
        <v>732</v>
      </c>
      <c r="F35" s="4">
        <v>14.0</v>
      </c>
      <c r="G35" s="4" t="s">
        <v>755</v>
      </c>
      <c r="H35" s="4" t="s">
        <v>756</v>
      </c>
      <c r="I35" s="4" t="s">
        <v>757</v>
      </c>
      <c r="J35" s="5" t="str">
        <f>Legacy_Backup!G35</f>
        <v>Emerging Technology</v>
      </c>
      <c r="K35" s="5" t="str">
        <f t="shared" si="1"/>
        <v>009</v>
      </c>
      <c r="L35" s="5" t="str">
        <f>Legacy_Backup!H35</f>
        <v>Match a technology to a useful application</v>
      </c>
      <c r="M35" s="5" t="str">
        <f>IFERROR(__xludf.DUMMYFUNCTION("IF(REGEXMATCH(UPPER(Legacy_Backup!I35),""KNOW""),""Know"",IF(REGEXMATCH(UPPER(Legacy_Backup!I35),""IMAGINE|INNOVATION""),""Imagine"",""Think""))"),"Think")</f>
        <v>Think</v>
      </c>
      <c r="N35" s="5" t="str">
        <f>IFERROR(__xludf.DUMMYFUNCTION("IF(REGEXMATCH(UPPER(Legacy_Backup!J35),""FUTURE""),""Future-Oriented"",IF(REGEXMATCH(UPPER(Legacy_Backup!J35),""KNOWLEDGE""),""Knowledge-Based"",IF(REGEXMATCH(UPPER(Legacy_Backup!J35),""DECISION""),""Decision-Making"",""Situation-Based"")))"),"Situation-Based")</f>
        <v>Situation-Based</v>
      </c>
      <c r="O35" s="5" t="str">
        <f>IF(UPPER(Legacy_Backup!K35)="HARD","Difficult",PROPER(Legacy_Backup!K35))</f>
        <v>Easy</v>
      </c>
      <c r="P35" s="5" t="str">
        <f>IF(UPPER(Legacy_Backup!O35)="YES","Visual","Text")</f>
        <v>Visual</v>
      </c>
      <c r="Q35" s="5" t="str">
        <f>PROPER(Legacy_Backup!O35)</f>
        <v>Yes</v>
      </c>
      <c r="R35" s="5" t="str">
        <f>IF(UPPER(Legacy_Backup!O35)="YES",IF(Legacy_Backup!Y35&lt;&gt;"",Legacy_Backup!Y35,"Image required"),"NA")</f>
        <v>A clean Grade 8 educational real-life scene illustrating: A farmer wants to check crop health across a large field quickly. Which tool is most suitable?</v>
      </c>
      <c r="S35" s="5" t="str">
        <f>IF(UPPER(Legacy_Backup!O35)="YES",IF(Legacy_Backup!Z35&lt;&gt;"",Legacy_Backup!Z35,"Prompt required"),"NA")</f>
        <v>Create a clear, age-appropriate educational visual for Grade 8. Show only the information needed for this MCQ: A farmer wants to check crop health across a large field quickly. Which tool is most suitable? Use a light background, simple labels, high contrast, no answer clues, landscape 4:3.</v>
      </c>
      <c r="T35" s="5" t="str">
        <f>IF(Legacy_Backup!L35&lt;&gt;"",PROPER(Legacy_Backup!L35),"Apply")</f>
        <v>Analyze</v>
      </c>
      <c r="U35" s="5" t="str">
        <f>Legacy_Backup!P35</f>
        <v>A farmer wants to check crop health across a large field quickly. Which method/tool is most suitable?</v>
      </c>
      <c r="V35" s="5" t="str">
        <f>Legacy_Backup!Q35</f>
        <v>A good running track in the field </v>
      </c>
      <c r="W35" s="5" t="str">
        <f>Legacy_Backup!R35</f>
        <v>A camera-equipped drone</v>
      </c>
      <c r="X35" s="5" t="str">
        <f>Legacy_Backup!S35</f>
        <v>A big team to go around and check the crop</v>
      </c>
      <c r="Y35" s="5" t="str">
        <f>Legacy_Backup!T35</f>
        <v>A barcode on the gate</v>
      </c>
      <c r="Z35" s="5" t="str">
        <f>Legacy_Backup!U35</f>
        <v>B</v>
      </c>
      <c r="AA35" s="5" t="str">
        <f>Legacy_Backup!W35</f>
        <v>A camera-equipped drone is the best choice because it directly applies emerging technology to the situation and addresses the stated need with a practical, responsible action.</v>
      </c>
      <c r="AB35" s="5" t="str">
        <f>Legacy_Backup!X35</f>
        <v>Builds practical digital readiness for future study, work and responsible citizenship.</v>
      </c>
      <c r="AC35" s="5" t="str">
        <f>Legacy_Backup!M35</f>
        <v>Digital Readiness</v>
      </c>
      <c r="AD35" s="5" t="str">
        <f>IF(UPPER(Legacy_Backup!O35)="YES",A35&amp;".png","NA")</f>
        <v>08_ETD_FDT_009.png</v>
      </c>
      <c r="AE35" s="5" t="str">
        <f>Legacy_Backup!AB35</f>
        <v/>
      </c>
      <c r="AF35" s="5"/>
      <c r="AG35" s="5"/>
      <c r="AH35" s="5" t="str">
        <f>IF(LEFT(Legacy_Backup!AC35,1)="v",Legacy_Backup!AC35,"v"&amp;Legacy_Backup!AC35)</f>
        <v>v1.0</v>
      </c>
    </row>
    <row r="36">
      <c r="A36" s="4" t="s">
        <v>758</v>
      </c>
      <c r="B36" s="4">
        <v>8.0</v>
      </c>
      <c r="C36" s="4">
        <v>2.0</v>
      </c>
      <c r="D36" s="4" t="s">
        <v>397</v>
      </c>
      <c r="E36" s="4" t="s">
        <v>732</v>
      </c>
      <c r="F36" s="4">
        <v>16.0</v>
      </c>
      <c r="G36" s="4" t="s">
        <v>747</v>
      </c>
      <c r="H36" s="4" t="s">
        <v>748</v>
      </c>
      <c r="I36" s="4" t="s">
        <v>759</v>
      </c>
      <c r="J36" s="5" t="str">
        <f>Legacy_Backup!G36</f>
        <v>Digital Wellbeing</v>
      </c>
      <c r="K36" s="5" t="str">
        <f t="shared" si="1"/>
        <v>010</v>
      </c>
      <c r="L36" s="5" t="str">
        <f>Legacy_Backup!H36</f>
        <v>Design a balanced technology routine</v>
      </c>
      <c r="M36" s="5" t="str">
        <f>IFERROR(__xludf.DUMMYFUNCTION("IF(REGEXMATCH(UPPER(Legacy_Backup!I36),""KNOW""),""Know"",IF(REGEXMATCH(UPPER(Legacy_Backup!I36),""IMAGINE|INNOVATION""),""Imagine"",""Think""))"),"Think")</f>
        <v>Think</v>
      </c>
      <c r="N36" s="5" t="str">
        <f>IFERROR(__xludf.DUMMYFUNCTION("IF(REGEXMATCH(UPPER(Legacy_Backup!J36),""FUTURE""),""Future-Oriented"",IF(REGEXMATCH(UPPER(Legacy_Backup!J36),""KNOWLEDGE""),""Knowledge-Based"",IF(REGEXMATCH(UPPER(Legacy_Backup!J36),""DECISION""),""Decision-Making"",""Situation-Based"")))"),"Situation-Based")</f>
        <v>Situation-Based</v>
      </c>
      <c r="O36" s="5" t="str">
        <f>IF(UPPER(Legacy_Backup!K36)="HARD","Difficult",PROPER(Legacy_Backup!K36))</f>
        <v>Easy</v>
      </c>
      <c r="P36" s="5" t="str">
        <f>IF(UPPER(Legacy_Backup!O36)="YES","Visual","Text")</f>
        <v>Text</v>
      </c>
      <c r="Q36" s="5" t="str">
        <f>PROPER(Legacy_Backup!O36)</f>
        <v>No</v>
      </c>
      <c r="R36" s="5" t="str">
        <f>IF(UPPER(Legacy_Backup!O36)="YES",IF(Legacy_Backup!Y36&lt;&gt;"",Legacy_Backup!Y36,"Image required"),"NA")</f>
        <v>NA</v>
      </c>
      <c r="S36" s="5" t="str">
        <f>IF(UPPER(Legacy_Backup!O36)="YES",IF(Legacy_Backup!Z36&lt;&gt;"",Legacy_Backup!Z36,"Prompt required"),"NA")</f>
        <v>NA</v>
      </c>
      <c r="T36" s="5" t="str">
        <f>IF(Legacy_Backup!L36&lt;&gt;"",PROPER(Legacy_Backup!L36),"Apply")</f>
        <v>Evaluate</v>
      </c>
      <c r="U36" s="5" t="str">
        <f>Legacy_Backup!P36</f>
        <v>Which plan best supports healthy digital habits during study?</v>
      </c>
      <c r="V36" s="5" t="str">
        <f>Legacy_Backup!Q36</f>
        <v>Keep every notification on</v>
      </c>
      <c r="W36" s="5" t="str">
        <f>Legacy_Backup!R36</f>
        <v>Study with five entertainment tabs open</v>
      </c>
      <c r="X36" s="5" t="str">
        <f>Legacy_Backup!S36</f>
        <v>Use focus mode, take timed breaks and keep the phone away</v>
      </c>
      <c r="Y36" s="5" t="str">
        <f>Legacy_Backup!T36</f>
        <v>Use the phone throughout the night</v>
      </c>
      <c r="Z36" s="5" t="str">
        <f>Legacy_Backup!U36</f>
        <v>C</v>
      </c>
      <c r="AA36" s="5" t="str">
        <f>Legacy_Backup!W36</f>
        <v>Use focus mode, take timed breaks and keep the phone away is the best choice because it directly applies digital wellbeing to the situation and addresses the stated need with a practical, responsible action.</v>
      </c>
      <c r="AB36" s="5" t="str">
        <f>Legacy_Backup!X36</f>
        <v>Builds practical digital readiness for future study, work and responsible citizenship.</v>
      </c>
      <c r="AC36" s="5" t="str">
        <f>Legacy_Backup!M36</f>
        <v>Digital Readiness</v>
      </c>
      <c r="AD36" s="5" t="str">
        <f>IF(UPPER(Legacy_Backup!O36)="YES",A36&amp;".png","NA")</f>
        <v>NA</v>
      </c>
      <c r="AE36" s="5" t="str">
        <f>Legacy_Backup!AB36</f>
        <v/>
      </c>
      <c r="AF36" s="5"/>
      <c r="AG36" s="5"/>
      <c r="AH36" s="5" t="str">
        <f>IF(LEFT(Legacy_Backup!AC36,1)="v",Legacy_Backup!AC36,"v"&amp;Legacy_Backup!AC36)</f>
        <v>v1.0</v>
      </c>
    </row>
    <row r="37">
      <c r="A37" s="4" t="s">
        <v>760</v>
      </c>
      <c r="B37" s="4">
        <v>8.0</v>
      </c>
      <c r="C37" s="4">
        <v>3.0</v>
      </c>
      <c r="D37" s="4" t="s">
        <v>532</v>
      </c>
      <c r="E37" s="4" t="s">
        <v>531</v>
      </c>
      <c r="F37" s="4">
        <v>18.0</v>
      </c>
      <c r="G37" s="4" t="s">
        <v>761</v>
      </c>
      <c r="H37" s="4" t="s">
        <v>762</v>
      </c>
      <c r="I37" s="4" t="s">
        <v>763</v>
      </c>
      <c r="J37" s="5" t="str">
        <f>Legacy_Backup!G37</f>
        <v>Climate Responsibility</v>
      </c>
      <c r="K37" s="5" t="str">
        <f t="shared" si="1"/>
        <v>001</v>
      </c>
      <c r="L37" s="5" t="str">
        <f>Legacy_Backup!H37</f>
        <v>Choose a locally effective climate action</v>
      </c>
      <c r="M37" s="5" t="str">
        <f>IFERROR(__xludf.DUMMYFUNCTION("IF(REGEXMATCH(UPPER(Legacy_Backup!I37),""KNOW""),""Know"",IF(REGEXMATCH(UPPER(Legacy_Backup!I37),""IMAGINE|INNOVATION""),""Imagine"",""Think""))"),"Imagine")</f>
        <v>Imagine</v>
      </c>
      <c r="N37" s="5" t="str">
        <f>IFERROR(__xludf.DUMMYFUNCTION("IF(REGEXMATCH(UPPER(Legacy_Backup!J37),""FUTURE""),""Future-Oriented"",IF(REGEXMATCH(UPPER(Legacy_Backup!J37),""KNOWLEDGE""),""Knowledge-Based"",IF(REGEXMATCH(UPPER(Legacy_Backup!J37),""DECISION""),""Decision-Making"",""Situation-Based"")))"),"Situation-Based")</f>
        <v>Situation-Based</v>
      </c>
      <c r="O37" s="5" t="str">
        <f>IF(UPPER(Legacy_Backup!K37)="HARD","Difficult",PROPER(Legacy_Backup!K37))</f>
        <v>Easy</v>
      </c>
      <c r="P37" s="5" t="str">
        <f>IF(UPPER(Legacy_Backup!O37)="YES","Visual","Text")</f>
        <v>Text</v>
      </c>
      <c r="Q37" s="5" t="str">
        <f>PROPER(Legacy_Backup!O37)</f>
        <v>No</v>
      </c>
      <c r="R37" s="5" t="str">
        <f>IF(UPPER(Legacy_Backup!O37)="YES",IF(Legacy_Backup!Y37&lt;&gt;"",Legacy_Backup!Y37,"Image required"),"NA")</f>
        <v>NA</v>
      </c>
      <c r="S37" s="5" t="str">
        <f>IF(UPPER(Legacy_Backup!O37)="YES",IF(Legacy_Backup!Z37&lt;&gt;"",Legacy_Backup!Z37,"Prompt required"),"NA")</f>
        <v>NA</v>
      </c>
      <c r="T37" s="5" t="str">
        <f>IF(Legacy_Backup!L37&lt;&gt;"",PROPER(Legacy_Backup!L37),"Apply")</f>
        <v>Create</v>
      </c>
      <c r="U37" s="5" t="str">
        <f>Legacy_Backup!P37</f>
        <v>A neighbourhood wants to reduce summer heat. Which action offers the broadest long-term benefit?</v>
      </c>
      <c r="V37" s="5" t="str">
        <f>Legacy_Backup!Q37</f>
        <v>Paint every wall black</v>
      </c>
      <c r="W37" s="5" t="str">
        <f>Legacy_Backup!R37</f>
        <v>Run outdoor coolers all day</v>
      </c>
      <c r="X37" s="5" t="str">
        <f>Legacy_Backup!S37</f>
        <v>Remove soil and add concrete</v>
      </c>
      <c r="Y37" s="5" t="str">
        <f>Legacy_Backup!T37</f>
        <v>Plant and care for native shade trees</v>
      </c>
      <c r="Z37" s="5" t="str">
        <f>Legacy_Backup!U37</f>
        <v>D</v>
      </c>
      <c r="AA37" s="5" t="str">
        <f>Legacy_Backup!W37</f>
        <v>Plant and care for native shade trees is the best choice because it directly applies climate responsibility to the situation and addresses the stated need with a practical, responsible action.</v>
      </c>
      <c r="AB37" s="5" t="str">
        <f>Legacy_Backup!X37</f>
        <v>Builds practical global awareness for future study, work and responsible citizenship.</v>
      </c>
      <c r="AC37" s="5" t="str">
        <f>Legacy_Backup!M37</f>
        <v>Global Awareness</v>
      </c>
      <c r="AD37" s="5" t="str">
        <f>IF(UPPER(Legacy_Backup!O37)="YES",A37&amp;".png","NA")</f>
        <v>NA</v>
      </c>
      <c r="AE37" s="5" t="str">
        <f>Legacy_Backup!AB37</f>
        <v/>
      </c>
      <c r="AF37" s="5"/>
      <c r="AG37" s="5"/>
      <c r="AH37" s="5" t="str">
        <f>IF(LEFT(Legacy_Backup!AC37,1)="v",Legacy_Backup!AC37,"v"&amp;Legacy_Backup!AC37)</f>
        <v>v1.0</v>
      </c>
    </row>
    <row r="38">
      <c r="A38" s="4" t="s">
        <v>764</v>
      </c>
      <c r="B38" s="4">
        <v>8.0</v>
      </c>
      <c r="C38" s="4">
        <v>3.0</v>
      </c>
      <c r="D38" s="4" t="s">
        <v>532</v>
      </c>
      <c r="E38" s="4" t="s">
        <v>531</v>
      </c>
      <c r="F38" s="4">
        <v>19.0</v>
      </c>
      <c r="G38" s="4" t="s">
        <v>536</v>
      </c>
      <c r="H38" s="4" t="s">
        <v>765</v>
      </c>
      <c r="I38" s="4" t="s">
        <v>766</v>
      </c>
      <c r="J38" s="5" t="str">
        <f>Legacy_Backup!G38</f>
        <v>Global Interdependence</v>
      </c>
      <c r="K38" s="5" t="str">
        <f t="shared" si="1"/>
        <v>002</v>
      </c>
      <c r="L38" s="5" t="str">
        <f>Legacy_Backup!H38</f>
        <v>Understand how events in one place affect others</v>
      </c>
      <c r="M38" s="5" t="str">
        <f>IFERROR(__xludf.DUMMYFUNCTION("IF(REGEXMATCH(UPPER(Legacy_Backup!I38),""KNOW""),""Know"",IF(REGEXMATCH(UPPER(Legacy_Backup!I38),""IMAGINE|INNOVATION""),""Imagine"",""Think""))"),"Think")</f>
        <v>Think</v>
      </c>
      <c r="N38" s="5" t="str">
        <f>IFERROR(__xludf.DUMMYFUNCTION("IF(REGEXMATCH(UPPER(Legacy_Backup!J38),""FUTURE""),""Future-Oriented"",IF(REGEXMATCH(UPPER(Legacy_Backup!J38),""KNOWLEDGE""),""Knowledge-Based"",IF(REGEXMATCH(UPPER(Legacy_Backup!J38),""DECISION""),""Decision-Making"",""Situation-Based"")))"),"Situation-Based")</f>
        <v>Situation-Based</v>
      </c>
      <c r="O38" s="5" t="str">
        <f>IF(UPPER(Legacy_Backup!K38)="HARD","Difficult",PROPER(Legacy_Backup!K38))</f>
        <v>Easy</v>
      </c>
      <c r="P38" s="5" t="str">
        <f>IF(UPPER(Legacy_Backup!O38)="YES","Visual","Text")</f>
        <v>Text</v>
      </c>
      <c r="Q38" s="5" t="str">
        <f>PROPER(Legacy_Backup!O38)</f>
        <v>No</v>
      </c>
      <c r="R38" s="5" t="str">
        <f>IF(UPPER(Legacy_Backup!O38)="YES",IF(Legacy_Backup!Y38&lt;&gt;"",Legacy_Backup!Y38,"Image required"),"NA")</f>
        <v>NA</v>
      </c>
      <c r="S38" s="5" t="str">
        <f>IF(UPPER(Legacy_Backup!O38)="YES",IF(Legacy_Backup!Z38&lt;&gt;"",Legacy_Backup!Z38,"Prompt required"),"NA")</f>
        <v>NA</v>
      </c>
      <c r="T38" s="5" t="str">
        <f>IF(Legacy_Backup!L38&lt;&gt;"",PROPER(Legacy_Backup!L38),"Apply")</f>
        <v>Apply</v>
      </c>
      <c r="U38" s="5" t="str">
        <f>Legacy_Backup!P38</f>
        <v>A port delay causes imported computer parts to arrive late. What does this best show?</v>
      </c>
      <c r="V38" s="5" t="str">
        <f>Legacy_Backup!Q38</f>
        <v>Global supply chains connect producers and buyers</v>
      </c>
      <c r="W38" s="5" t="str">
        <f>Legacy_Backup!R38</f>
        <v>Countries are completely independent and do not need imports</v>
      </c>
      <c r="X38" s="5" t="str">
        <f>Legacy_Backup!S38</f>
        <v>Only ports &amp; shipping industry are affected by trade</v>
      </c>
      <c r="Y38" s="5" t="str">
        <f>Legacy_Backup!T38</f>
        <v>Local shops &amp; manufacturers never depend on imports</v>
      </c>
      <c r="Z38" s="5" t="str">
        <f>Legacy_Backup!U38</f>
        <v>A</v>
      </c>
      <c r="AA38" s="5" t="str">
        <f>Legacy_Backup!W38</f>
        <v>Global supply chains connect producers and buyers is the best choice because it directly applies global interdependence to the situation and addresses the stated need with a practical, responsible action.</v>
      </c>
      <c r="AB38" s="5" t="str">
        <f>Legacy_Backup!X38</f>
        <v>Builds practical global awareness for future study, work and responsible citizenship.</v>
      </c>
      <c r="AC38" s="5" t="str">
        <f>Legacy_Backup!M38</f>
        <v>Global Awareness</v>
      </c>
      <c r="AD38" s="5" t="str">
        <f>IF(UPPER(Legacy_Backup!O38)="YES",A38&amp;".png","NA")</f>
        <v>NA</v>
      </c>
      <c r="AE38" s="5" t="str">
        <f>Legacy_Backup!AB38</f>
        <v/>
      </c>
      <c r="AF38" s="5"/>
      <c r="AG38" s="5"/>
      <c r="AH38" s="5" t="str">
        <f>IF(LEFT(Legacy_Backup!AC38,1)="v",Legacy_Backup!AC38,"v"&amp;Legacy_Backup!AC38)</f>
        <v>v1.0</v>
      </c>
    </row>
    <row r="39">
      <c r="A39" s="4" t="s">
        <v>767</v>
      </c>
      <c r="B39" s="4">
        <v>8.0</v>
      </c>
      <c r="C39" s="4">
        <v>3.0</v>
      </c>
      <c r="D39" s="4" t="s">
        <v>532</v>
      </c>
      <c r="E39" s="4" t="s">
        <v>531</v>
      </c>
      <c r="F39" s="4">
        <v>17.0</v>
      </c>
      <c r="G39" s="4" t="s">
        <v>583</v>
      </c>
      <c r="H39" s="4" t="s">
        <v>582</v>
      </c>
      <c r="I39" s="4" t="s">
        <v>768</v>
      </c>
      <c r="J39" s="5" t="str">
        <f>Legacy_Backup!G39</f>
        <v>Future Skills</v>
      </c>
      <c r="K39" s="5" t="str">
        <f t="shared" si="1"/>
        <v>003</v>
      </c>
      <c r="L39" s="5" t="str">
        <f>Legacy_Backup!H39</f>
        <v>Interpret information about changing work</v>
      </c>
      <c r="M39" s="5" t="str">
        <f>IFERROR(__xludf.DUMMYFUNCTION("IF(REGEXMATCH(UPPER(Legacy_Backup!I39),""KNOW""),""Know"",IF(REGEXMATCH(UPPER(Legacy_Backup!I39),""IMAGINE|INNOVATION""),""Imagine"",""Think""))"),"Think")</f>
        <v>Think</v>
      </c>
      <c r="N39" s="5" t="str">
        <f>IFERROR(__xludf.DUMMYFUNCTION("IF(REGEXMATCH(UPPER(Legacy_Backup!J39),""FUTURE""),""Future-Oriented"",IF(REGEXMATCH(UPPER(Legacy_Backup!J39),""KNOWLEDGE""),""Knowledge-Based"",IF(REGEXMATCH(UPPER(Legacy_Backup!J39),""DECISION""),""Decision-Making"",""Situation-Based"")))"),"Situation-Based")</f>
        <v>Situation-Based</v>
      </c>
      <c r="O39" s="5" t="str">
        <f>IF(UPPER(Legacy_Backup!K39)="HARD","Difficult",PROPER(Legacy_Backup!K39))</f>
        <v>Easy</v>
      </c>
      <c r="P39" s="5" t="str">
        <f>IF(UPPER(Legacy_Backup!O39)="YES","Visual","Text")</f>
        <v>Text</v>
      </c>
      <c r="Q39" s="5" t="str">
        <f>PROPER(Legacy_Backup!O39)</f>
        <v>No</v>
      </c>
      <c r="R39" s="5" t="str">
        <f>IF(UPPER(Legacy_Backup!O39)="YES",IF(Legacy_Backup!Y39&lt;&gt;"",Legacy_Backup!Y39,"Image required"),"NA")</f>
        <v>NA</v>
      </c>
      <c r="S39" s="5" t="str">
        <f>IF(UPPER(Legacy_Backup!O39)="YES",IF(Legacy_Backup!Z39&lt;&gt;"",Legacy_Backup!Z39,"Prompt required"),"NA")</f>
        <v>NA</v>
      </c>
      <c r="T39" s="5" t="str">
        <f>IF(Legacy_Backup!L39&lt;&gt;"",PROPER(Legacy_Backup!L39),"Apply")</f>
        <v>Analyze</v>
      </c>
      <c r="U39" s="5" t="str">
        <f>Legacy_Backup!P39</f>
        <v>A chart shows demand rising for data analysis, communication and green-energy skills. Which plan best prepares a student?</v>
      </c>
      <c r="V39" s="5" t="str">
        <f>Legacy_Backup!Q39</f>
        <v>Learn all 20 skills to prepare for everything</v>
      </c>
      <c r="W39" s="5" t="str">
        <f>Legacy_Backup!R39</f>
        <v>Learning digital, communication and sustainability skills</v>
      </c>
      <c r="X39" s="5" t="str">
        <f>Legacy_Backup!S39</f>
        <v>Learn technology usage  and Driving skills for gig jobs </v>
      </c>
      <c r="Y39" s="5" t="str">
        <f>Legacy_Backup!T39</f>
        <v>Ignore new technology &amp; advancements as they keep changing</v>
      </c>
      <c r="Z39" s="5" t="str">
        <f>Legacy_Backup!U39</f>
        <v>B</v>
      </c>
      <c r="AA39" s="5" t="str">
        <f>Legacy_Backup!W39</f>
        <v>Develop a mix of digital, communication and sustainability skills is the best choice because it directly applies future skills to the situation and addresses the stated need with a practical, responsible action.</v>
      </c>
      <c r="AB39" s="5" t="str">
        <f>Legacy_Backup!X39</f>
        <v>Builds practical global awareness for future study, work and responsible citizenship.</v>
      </c>
      <c r="AC39" s="5" t="str">
        <f>Legacy_Backup!M39</f>
        <v>Global Awareness</v>
      </c>
      <c r="AD39" s="5" t="str">
        <f>IF(UPPER(Legacy_Backup!O39)="YES",A39&amp;".png","NA")</f>
        <v>NA</v>
      </c>
      <c r="AE39" s="5" t="str">
        <f>Legacy_Backup!AB39</f>
        <v/>
      </c>
      <c r="AF39" s="5"/>
      <c r="AG39" s="5"/>
      <c r="AH39" s="5" t="str">
        <f>IF(LEFT(Legacy_Backup!AC39,1)="v",Legacy_Backup!AC39,"v"&amp;Legacy_Backup!AC39)</f>
        <v>v1.0</v>
      </c>
    </row>
    <row r="40">
      <c r="A40" s="4" t="s">
        <v>769</v>
      </c>
      <c r="B40" s="4">
        <v>8.0</v>
      </c>
      <c r="C40" s="4">
        <v>3.0</v>
      </c>
      <c r="D40" s="4" t="s">
        <v>532</v>
      </c>
      <c r="E40" s="4" t="s">
        <v>531</v>
      </c>
      <c r="F40" s="4">
        <v>19.0</v>
      </c>
      <c r="G40" s="4" t="s">
        <v>536</v>
      </c>
      <c r="H40" s="4" t="s">
        <v>765</v>
      </c>
      <c r="I40" s="4" t="s">
        <v>770</v>
      </c>
      <c r="J40" s="5" t="str">
        <f>Legacy_Backup!G40</f>
        <v>Cultural Awareness</v>
      </c>
      <c r="K40" s="5" t="str">
        <f t="shared" si="1"/>
        <v>004</v>
      </c>
      <c r="L40" s="5" t="str">
        <f>Legacy_Backup!H40</f>
        <v>Respond respectfully to cultural differences</v>
      </c>
      <c r="M40" s="5" t="str">
        <f>IFERROR(__xludf.DUMMYFUNCTION("IF(REGEXMATCH(UPPER(Legacy_Backup!I40),""KNOW""),""Know"",IF(REGEXMATCH(UPPER(Legacy_Backup!I40),""IMAGINE|INNOVATION""),""Imagine"",""Think""))"),"Think")</f>
        <v>Think</v>
      </c>
      <c r="N40" s="5" t="str">
        <f>IFERROR(__xludf.DUMMYFUNCTION("IF(REGEXMATCH(UPPER(Legacy_Backup!J40),""FUTURE""),""Future-Oriented"",IF(REGEXMATCH(UPPER(Legacy_Backup!J40),""KNOWLEDGE""),""Knowledge-Based"",IF(REGEXMATCH(UPPER(Legacy_Backup!J40),""DECISION""),""Decision-Making"",""Situation-Based"")))"),"Situation-Based")</f>
        <v>Situation-Based</v>
      </c>
      <c r="O40" s="5" t="str">
        <f>IF(UPPER(Legacy_Backup!K40)="HARD","Difficult",PROPER(Legacy_Backup!K40))</f>
        <v>Easy</v>
      </c>
      <c r="P40" s="5" t="str">
        <f>IF(UPPER(Legacy_Backup!O40)="YES","Visual","Text")</f>
        <v>Visual</v>
      </c>
      <c r="Q40" s="5" t="str">
        <f>PROPER(Legacy_Backup!O40)</f>
        <v>Yes</v>
      </c>
      <c r="R40" s="5" t="str">
        <f>IF(UPPER(Legacy_Backup!O40)="YES",IF(Legacy_Backup!Y40&lt;&gt;"",Legacy_Backup!Y40,"Image required"),"NA")</f>
        <v>A clean Grade 8 educational table or chart illustrating: An image shows students from several countries sharing different festival foods. What is the most respectful response?</v>
      </c>
      <c r="S40" s="5" t="str">
        <f>IF(UPPER(Legacy_Backup!O40)="YES",IF(Legacy_Backup!Z40&lt;&gt;"",Legacy_Backup!Z40,"Prompt required"),"NA")</f>
        <v>Create a clear, age-appropriate educational visual for Grade 8. Show only the information needed for this MCQ: An image shows students from several countries sharing different festival foods. What is the most respectful response? Use a light background, simple labels, high contrast, no answer clues, landscape 4:3.</v>
      </c>
      <c r="T40" s="5" t="str">
        <f>IF(Legacy_Backup!L40&lt;&gt;"",PROPER(Legacy_Backup!L40),"Apply")</f>
        <v>Analyze</v>
      </c>
      <c r="U40" s="5" t="str">
        <f>Legacy_Backup!P40</f>
        <v>A group of students is meeting. What is the most respectful  response</v>
      </c>
      <c r="V40" s="5" t="str">
        <f>Legacy_Backup!Q40</f>
        <v>Make fun of unfamiliar food that they don't like</v>
      </c>
      <c r="W40" s="5" t="str">
        <f>Legacy_Backup!R40</f>
        <v>Insist everyone eat the same food in a sequence</v>
      </c>
      <c r="X40" s="5" t="str">
        <f>Legacy_Backup!S40</f>
        <v>Ask questions and learn about each tradition/food</v>
      </c>
      <c r="Y40" s="5" t="str">
        <f>Legacy_Backup!T40</f>
        <v>Avoid speaking to students from other cultures</v>
      </c>
      <c r="Z40" s="5" t="str">
        <f>Legacy_Backup!U40</f>
        <v>C</v>
      </c>
      <c r="AA40" s="5" t="str">
        <f>Legacy_Backup!W40</f>
        <v>Ask respectful questions and learn about each tradition is the best choice because it directly applies cultural awareness to the situation and addresses the stated need with a practical, responsible action.</v>
      </c>
      <c r="AB40" s="5" t="str">
        <f>Legacy_Backup!X40</f>
        <v>Builds practical global awareness for future study, work and responsible citizenship.</v>
      </c>
      <c r="AC40" s="5" t="str">
        <f>Legacy_Backup!M40</f>
        <v>Global Awareness</v>
      </c>
      <c r="AD40" s="5" t="str">
        <f>IF(UPPER(Legacy_Backup!O40)="YES",A40&amp;".png","NA")</f>
        <v>08_FRG_GAW_004.png</v>
      </c>
      <c r="AE40" s="5" t="str">
        <f>Legacy_Backup!AB40</f>
        <v/>
      </c>
      <c r="AF40" s="5"/>
      <c r="AG40" s="5"/>
      <c r="AH40" s="5" t="str">
        <f>IF(LEFT(Legacy_Backup!AC40,1)="v",Legacy_Backup!AC40,"v"&amp;Legacy_Backup!AC40)</f>
        <v>v1.0</v>
      </c>
    </row>
    <row r="41">
      <c r="A41" s="4" t="s">
        <v>771</v>
      </c>
      <c r="B41" s="4">
        <v>8.0</v>
      </c>
      <c r="C41" s="4">
        <v>3.0</v>
      </c>
      <c r="D41" s="4" t="s">
        <v>532</v>
      </c>
      <c r="E41" s="4" t="s">
        <v>531</v>
      </c>
      <c r="F41" s="4">
        <v>17.0</v>
      </c>
      <c r="G41" s="4" t="s">
        <v>583</v>
      </c>
      <c r="H41" s="4" t="s">
        <v>582</v>
      </c>
      <c r="I41" s="4" t="s">
        <v>772</v>
      </c>
      <c r="J41" s="5" t="str">
        <f>Legacy_Backup!G41</f>
        <v>Future Skills</v>
      </c>
      <c r="K41" s="5" t="str">
        <f t="shared" si="1"/>
        <v>005</v>
      </c>
      <c r="L41" s="5" t="str">
        <f>Legacy_Backup!H41</f>
        <v>Identify the skills that will remain valuable in the future workplace.</v>
      </c>
      <c r="M41" s="5" t="str">
        <f>IFERROR(__xludf.DUMMYFUNCTION("IF(REGEXMATCH(UPPER(Legacy_Backup!I41),""KNOW""),""Know"",IF(REGEXMATCH(UPPER(Legacy_Backup!I41),""IMAGINE|INNOVATION""),""Imagine"",""Think""))"),"Know")</f>
        <v>Know</v>
      </c>
      <c r="N41" s="5" t="str">
        <f>IFERROR(__xludf.DUMMYFUNCTION("IF(REGEXMATCH(UPPER(Legacy_Backup!J41),""FUTURE""),""Future-Oriented"",IF(REGEXMATCH(UPPER(Legacy_Backup!J41),""KNOWLEDGE""),""Knowledge-Based"",IF(REGEXMATCH(UPPER(Legacy_Backup!J41),""DECISION""),""Decision-Making"",""Situation-Based"")))"),"Knowledge-Based")</f>
        <v>Knowledge-Based</v>
      </c>
      <c r="O41" s="5" t="str">
        <f>IF(UPPER(Legacy_Backup!K41)="HARD","Difficult",PROPER(Legacy_Backup!K41))</f>
        <v>Easy</v>
      </c>
      <c r="P41" s="5" t="str">
        <f>IF(UPPER(Legacy_Backup!O41)="YES","Visual","Text")</f>
        <v>Visual</v>
      </c>
      <c r="Q41" s="5" t="str">
        <f>PROPER(Legacy_Backup!O41)</f>
        <v>Yes</v>
      </c>
      <c r="R41" s="5" t="str">
        <f>IF(UPPER(Legacy_Backup!O41)="YES",IF(Legacy_Backup!Y41&lt;&gt;"",Legacy_Backup!Y41,"Image required"),"NA")</f>
        <v>Four students are shown performing different activities: Student A memorizing a textbook Student B solving a puzzle with teammates Student C copying notes from another student Student D decorating a notebook</v>
      </c>
      <c r="S41" s="5" t="str">
        <f>IF(UPPER(Legacy_Backup!O41)="YES",IF(Legacy_Backup!Z41&lt;&gt;"",Legacy_Backup!Z41,"Prompt required"),"NA")</f>
        <v>Flat vector illustration, educational style, white background. Four Grade-8 students shown in four equal panels. Panel A: student memorizing from a textbook. Panel B: two students collaborating to solve a puzzle using sticky notes. Panel C: student copying homework. Panel D: student decorating a notebook. Bright colors, clean design, no text inside the illustration.</v>
      </c>
      <c r="T41" s="5" t="str">
        <f>IF(Legacy_Backup!L41&lt;&gt;"",PROPER(Legacy_Backup!L41),"Apply")</f>
        <v>Apply</v>
      </c>
      <c r="U41" s="5" t="str">
        <f>Legacy_Backup!P41</f>
        <v>Look at the picture. Which student is demonstrating one of the most important future-ready skills?</v>
      </c>
      <c r="V41" s="5" t="str">
        <f>Legacy_Backup!Q41</f>
        <v>Student A</v>
      </c>
      <c r="W41" s="5" t="str">
        <f>Legacy_Backup!R41</f>
        <v>Student B</v>
      </c>
      <c r="X41" s="5" t="str">
        <f>Legacy_Backup!S41</f>
        <v>Student C</v>
      </c>
      <c r="Y41" s="5" t="str">
        <f>Legacy_Backup!T41</f>
        <v>Student D</v>
      </c>
      <c r="Z41" s="5" t="str">
        <f>Legacy_Backup!U41</f>
        <v>B</v>
      </c>
      <c r="AA41" s="5" t="str">
        <f>Legacy_Backup!W41</f>
        <v>Collaboration and problem-solving are considered among the most important future skills.</v>
      </c>
      <c r="AB41" s="5" t="str">
        <f>Legacy_Backup!X41</f>
        <v>The jobs of tomorrow will reward people who can work together to solve new and complex problems.</v>
      </c>
      <c r="AC41" s="5" t="str">
        <f>Legacy_Backup!M41</f>
        <v>Collaboration &amp; Problem Solving</v>
      </c>
      <c r="AD41" s="5" t="str">
        <f>IF(UPPER(Legacy_Backup!O41)="YES",A41&amp;".png","NA")</f>
        <v>08_FRG_FWC_005.png</v>
      </c>
      <c r="AE41" s="5" t="str">
        <f>Legacy_Backup!AB41</f>
        <v/>
      </c>
      <c r="AF41" s="5"/>
      <c r="AG41" s="5"/>
      <c r="AH41" s="5" t="str">
        <f>IF(LEFT(Legacy_Backup!AC41,1)="v",Legacy_Backup!AC41,"v"&amp;Legacy_Backup!AC41)</f>
        <v>v1.0</v>
      </c>
    </row>
    <row r="42">
      <c r="A42" s="4" t="s">
        <v>773</v>
      </c>
      <c r="B42" s="4">
        <v>8.0</v>
      </c>
      <c r="C42" s="4">
        <v>3.0</v>
      </c>
      <c r="D42" s="4" t="s">
        <v>532</v>
      </c>
      <c r="E42" s="4" t="s">
        <v>531</v>
      </c>
      <c r="F42" s="4">
        <v>18.0</v>
      </c>
      <c r="G42" s="4" t="s">
        <v>761</v>
      </c>
      <c r="H42" s="4" t="s">
        <v>762</v>
      </c>
      <c r="I42" s="4" t="s">
        <v>774</v>
      </c>
      <c r="J42" s="5" t="str">
        <f>Legacy_Backup!G42</f>
        <v>Community Resilience</v>
      </c>
      <c r="K42" s="5" t="str">
        <f t="shared" si="1"/>
        <v>006</v>
      </c>
      <c r="L42" s="5" t="str">
        <f>Legacy_Backup!H42</f>
        <v>Plan for a disruption using available resources</v>
      </c>
      <c r="M42" s="5" t="str">
        <f>IFERROR(__xludf.DUMMYFUNCTION("IF(REGEXMATCH(UPPER(Legacy_Backup!I42),""KNOW""),""Know"",IF(REGEXMATCH(UPPER(Legacy_Backup!I42),""IMAGINE|INNOVATION""),""Imagine"",""Think""))"),"Think")</f>
        <v>Think</v>
      </c>
      <c r="N42" s="5" t="str">
        <f>IFERROR(__xludf.DUMMYFUNCTION("IF(REGEXMATCH(UPPER(Legacy_Backup!J42),""FUTURE""),""Future-Oriented"",IF(REGEXMATCH(UPPER(Legacy_Backup!J42),""KNOWLEDGE""),""Knowledge-Based"",IF(REGEXMATCH(UPPER(Legacy_Backup!J42),""DECISION""),""Decision-Making"",""Situation-Based"")))"),"Situation-Based")</f>
        <v>Situation-Based</v>
      </c>
      <c r="O42" s="5" t="str">
        <f>IF(UPPER(Legacy_Backup!K42)="HARD","Difficult",PROPER(Legacy_Backup!K42))</f>
        <v>Easy</v>
      </c>
      <c r="P42" s="5" t="str">
        <f>IF(UPPER(Legacy_Backup!O42)="YES","Visual","Text")</f>
        <v>Text</v>
      </c>
      <c r="Q42" s="5" t="str">
        <f>PROPER(Legacy_Backup!O42)</f>
        <v>No</v>
      </c>
      <c r="R42" s="5" t="str">
        <f>IF(UPPER(Legacy_Backup!O42)="YES",IF(Legacy_Backup!Y42&lt;&gt;"",Legacy_Backup!Y42,"Image required"),"NA")</f>
        <v>NA</v>
      </c>
      <c r="S42" s="5" t="str">
        <f>IF(UPPER(Legacy_Backup!O42)="YES",IF(Legacy_Backup!Z42&lt;&gt;"",Legacy_Backup!Z42,"Prompt required"),"NA")</f>
        <v>NA</v>
      </c>
      <c r="T42" s="5" t="str">
        <f>IF(Legacy_Backup!L42&lt;&gt;"",PROPER(Legacy_Backup!L42),"Apply")</f>
        <v>Evaluate</v>
      </c>
      <c r="U42" s="5" t="str">
        <f>Legacy_Backup!P42</f>
        <v>Heavy rain may cut electricity for a day. Which school plan is most useful?</v>
      </c>
      <c r="V42" s="5" t="str">
        <f>Legacy_Backup!Q42</f>
        <v>Prepare emergency lights and other measures</v>
      </c>
      <c r="W42" s="5" t="str">
        <f>Legacy_Backup!R42</f>
        <v>Wait until the power fails and do not act</v>
      </c>
      <c r="X42" s="5" t="str">
        <f>Legacy_Backup!S42</f>
        <v>Cancel all planning &amp; activities</v>
      </c>
      <c r="Y42" s="5" t="str">
        <f>Legacy_Backup!T42</f>
        <v>Ask students &amp; teachers to bring oil lamps</v>
      </c>
      <c r="Z42" s="5" t="str">
        <f>Legacy_Backup!U42</f>
        <v>A</v>
      </c>
      <c r="AA42" s="5" t="str">
        <f>Legacy_Backup!W42</f>
        <v>Prepare emergency lights, contacts and safe assembly procedures is the best choice because it directly applies community resilience to the situation and addresses the stated need with a practical, responsible action.</v>
      </c>
      <c r="AB42" s="5" t="str">
        <f>Legacy_Backup!X42</f>
        <v>Builds practical global awareness for future study, work and responsible citizenship.</v>
      </c>
      <c r="AC42" s="5" t="str">
        <f>Legacy_Backup!M42</f>
        <v>Global Awareness</v>
      </c>
      <c r="AD42" s="5" t="str">
        <f>IF(UPPER(Legacy_Backup!O42)="YES",A42&amp;".png","NA")</f>
        <v>NA</v>
      </c>
      <c r="AE42" s="5" t="str">
        <f>Legacy_Backup!AB42</f>
        <v/>
      </c>
      <c r="AF42" s="5"/>
      <c r="AG42" s="5"/>
      <c r="AH42" s="5" t="str">
        <f>IF(LEFT(Legacy_Backup!AC42,1)="v",Legacy_Backup!AC42,"v"&amp;Legacy_Backup!AC42)</f>
        <v>v1.0</v>
      </c>
    </row>
    <row r="43">
      <c r="A43" s="4" t="s">
        <v>775</v>
      </c>
      <c r="B43" s="4">
        <v>8.0</v>
      </c>
      <c r="C43" s="4">
        <v>3.0</v>
      </c>
      <c r="D43" s="4" t="s">
        <v>532</v>
      </c>
      <c r="E43" s="4" t="s">
        <v>531</v>
      </c>
      <c r="F43" s="4">
        <v>19.0</v>
      </c>
      <c r="G43" s="4" t="s">
        <v>536</v>
      </c>
      <c r="H43" s="4" t="s">
        <v>765</v>
      </c>
      <c r="I43" s="4" t="s">
        <v>776</v>
      </c>
      <c r="J43" s="5" t="str">
        <f>Legacy_Backup!G43</f>
        <v>Global Citizenship</v>
      </c>
      <c r="K43" s="5" t="str">
        <f t="shared" si="1"/>
        <v>007</v>
      </c>
      <c r="L43" s="5" t="str">
        <f>Legacy_Backup!H43</f>
        <v>Choose responsible action on a shared global issue</v>
      </c>
      <c r="M43" s="5" t="str">
        <f>IFERROR(__xludf.DUMMYFUNCTION("IF(REGEXMATCH(UPPER(Legacy_Backup!I43),""KNOW""),""Know"",IF(REGEXMATCH(UPPER(Legacy_Backup!I43),""IMAGINE|INNOVATION""),""Imagine"",""Think""))"),"Imagine")</f>
        <v>Imagine</v>
      </c>
      <c r="N43" s="5" t="str">
        <f>IFERROR(__xludf.DUMMYFUNCTION("IF(REGEXMATCH(UPPER(Legacy_Backup!J43),""FUTURE""),""Future-Oriented"",IF(REGEXMATCH(UPPER(Legacy_Backup!J43),""KNOWLEDGE""),""Knowledge-Based"",IF(REGEXMATCH(UPPER(Legacy_Backup!J43),""DECISION""),""Decision-Making"",""Situation-Based"")))"),"Situation-Based")</f>
        <v>Situation-Based</v>
      </c>
      <c r="O43" s="5" t="str">
        <f>IF(UPPER(Legacy_Backup!K43)="HARD","Difficult",PROPER(Legacy_Backup!K43))</f>
        <v>Easy</v>
      </c>
      <c r="P43" s="5" t="str">
        <f>IF(UPPER(Legacy_Backup!O43)="YES","Visual","Text")</f>
        <v>Text</v>
      </c>
      <c r="Q43" s="5" t="str">
        <f>PROPER(Legacy_Backup!O43)</f>
        <v>No</v>
      </c>
      <c r="R43" s="5" t="str">
        <f>IF(UPPER(Legacy_Backup!O43)="YES",IF(Legacy_Backup!Y43&lt;&gt;"",Legacy_Backup!Y43,"Image required"),"NA")</f>
        <v>NA</v>
      </c>
      <c r="S43" s="5" t="str">
        <f>IF(UPPER(Legacy_Backup!O43)="YES",IF(Legacy_Backup!Z43&lt;&gt;"",Legacy_Backup!Z43,"Prompt required"),"NA")</f>
        <v>NA</v>
      </c>
      <c r="T43" s="5" t="str">
        <f>IF(Legacy_Backup!L43&lt;&gt;"",PROPER(Legacy_Backup!L43),"Apply")</f>
        <v>Create</v>
      </c>
      <c r="U43" s="5" t="str">
        <f>Legacy_Backup!P43</f>
        <v>Students learn that electronic waste is often dumped unsafely. What is the best response?</v>
      </c>
      <c r="V43" s="5" t="str">
        <f>Legacy_Backup!Q43</f>
        <v>Throw devices into general waste</v>
      </c>
      <c r="W43" s="5" t="str">
        <f>Legacy_Backup!R43</f>
        <v>Use authorised e-waste collection and extend device life</v>
      </c>
      <c r="X43" s="5" t="str">
        <f>Legacy_Backup!S43</f>
        <v>Burn old wires</v>
      </c>
      <c r="Y43" s="5" t="str">
        <f>Legacy_Backup!T43</f>
        <v>Buy a new device every year</v>
      </c>
      <c r="Z43" s="5" t="str">
        <f>Legacy_Backup!U43</f>
        <v>B</v>
      </c>
      <c r="AA43" s="5" t="str">
        <f>Legacy_Backup!W43</f>
        <v>Use authorised e-waste collection and extend device life is the best choice because it directly applies global citizenship to the situation and addresses the stated need with a practical, responsible action.</v>
      </c>
      <c r="AB43" s="5" t="str">
        <f>Legacy_Backup!X43</f>
        <v>Builds practical global awareness for future study, work and responsible citizenship.</v>
      </c>
      <c r="AC43" s="5" t="str">
        <f>Legacy_Backup!M43</f>
        <v>Global Awareness</v>
      </c>
      <c r="AD43" s="5" t="str">
        <f>IF(UPPER(Legacy_Backup!O43)="YES",A43&amp;".png","NA")</f>
        <v>NA</v>
      </c>
      <c r="AE43" s="5" t="str">
        <f>Legacy_Backup!AB43</f>
        <v/>
      </c>
      <c r="AF43" s="5"/>
      <c r="AG43" s="5"/>
      <c r="AH43" s="5" t="str">
        <f>IF(LEFT(Legacy_Backup!AC43,1)="v",Legacy_Backup!AC43,"v"&amp;Legacy_Backup!AC43)</f>
        <v>v1.0</v>
      </c>
    </row>
    <row r="44">
      <c r="A44" s="4" t="s">
        <v>777</v>
      </c>
      <c r="B44" s="4">
        <v>8.0</v>
      </c>
      <c r="C44" s="4">
        <v>3.0</v>
      </c>
      <c r="D44" s="4" t="s">
        <v>532</v>
      </c>
      <c r="E44" s="4" t="s">
        <v>531</v>
      </c>
      <c r="F44" s="4">
        <v>17.0</v>
      </c>
      <c r="G44" s="4" t="s">
        <v>583</v>
      </c>
      <c r="H44" s="4" t="s">
        <v>582</v>
      </c>
      <c r="I44" s="4" t="s">
        <v>778</v>
      </c>
      <c r="J44" s="5" t="str">
        <f>Legacy_Backup!G44</f>
        <v>Adaptability</v>
      </c>
      <c r="K44" s="5" t="str">
        <f t="shared" si="1"/>
        <v>008</v>
      </c>
      <c r="L44" s="5" t="str">
        <f>Legacy_Backup!H44</f>
        <v>Learn and adjust when future conditions change</v>
      </c>
      <c r="M44" s="5" t="str">
        <f>IFERROR(__xludf.DUMMYFUNCTION("IF(REGEXMATCH(UPPER(Legacy_Backup!I44),""KNOW""),""Know"",IF(REGEXMATCH(UPPER(Legacy_Backup!I44),""IMAGINE|INNOVATION""),""Imagine"",""Think""))"),"Think")</f>
        <v>Think</v>
      </c>
      <c r="N44" s="5" t="str">
        <f>IFERROR(__xludf.DUMMYFUNCTION("IF(REGEXMATCH(UPPER(Legacy_Backup!J44),""FUTURE""),""Future-Oriented"",IF(REGEXMATCH(UPPER(Legacy_Backup!J44),""KNOWLEDGE""),""Knowledge-Based"",IF(REGEXMATCH(UPPER(Legacy_Backup!J44),""DECISION""),""Decision-Making"",""Situation-Based"")))"),"Situation-Based")</f>
        <v>Situation-Based</v>
      </c>
      <c r="O44" s="5" t="str">
        <f>IF(UPPER(Legacy_Backup!K44)="HARD","Difficult",PROPER(Legacy_Backup!K44))</f>
        <v>Easy</v>
      </c>
      <c r="P44" s="5" t="str">
        <f>IF(UPPER(Legacy_Backup!O44)="YES","Visual","Text")</f>
        <v>Text</v>
      </c>
      <c r="Q44" s="5" t="str">
        <f>PROPER(Legacy_Backup!O44)</f>
        <v>No</v>
      </c>
      <c r="R44" s="5" t="str">
        <f>IF(UPPER(Legacy_Backup!O44)="YES",IF(Legacy_Backup!Y44&lt;&gt;"",Legacy_Backup!Y44,"Image required"),"NA")</f>
        <v>NA</v>
      </c>
      <c r="S44" s="5" t="str">
        <f>IF(UPPER(Legacy_Backup!O44)="YES",IF(Legacy_Backup!Z44&lt;&gt;"",Legacy_Backup!Z44,"Prompt required"),"NA")</f>
        <v>NA</v>
      </c>
      <c r="T44" s="5" t="str">
        <f>IF(Legacy_Backup!L44&lt;&gt;"",PROPER(Legacy_Backup!L44),"Apply")</f>
        <v>Apply</v>
      </c>
      <c r="U44" s="5" t="str">
        <f>Legacy_Backup!P44</f>
        <v>A timeline shows a student learning spreadsheet skills, receiving feedback, practising, and improving. Which future-ready quality is shown?</v>
      </c>
      <c r="V44" s="5" t="str">
        <f>Legacy_Backup!Q44</f>
        <v>Avoiding change as feedback is not good</v>
      </c>
      <c r="W44" s="5" t="str">
        <f>Legacy_Backup!R44</f>
        <v>Working on an Excel sheet is the most important skill</v>
      </c>
      <c r="X44" s="5" t="str">
        <f>Legacy_Backup!S44</f>
        <v>Adaptability through continuous learning</v>
      </c>
      <c r="Y44" s="5" t="str">
        <f>Legacy_Backup!T44</f>
        <v>Waiting for perfect instructions from teacher</v>
      </c>
      <c r="Z44" s="5" t="str">
        <f>Legacy_Backup!U44</f>
        <v>C</v>
      </c>
      <c r="AA44" s="5" t="str">
        <f>Legacy_Backup!W44</f>
        <v>Adaptability through continuous learning is the best choice because it directly applies adaptability to the situation and addresses the stated need with a practical, responsible action.</v>
      </c>
      <c r="AB44" s="5" t="str">
        <f>Legacy_Backup!X44</f>
        <v>Builds practical global awareness for future study, work and responsible citizenship.</v>
      </c>
      <c r="AC44" s="5" t="str">
        <f>Legacy_Backup!M44</f>
        <v>Global Awareness</v>
      </c>
      <c r="AD44" s="5" t="str">
        <f>IF(UPPER(Legacy_Backup!O44)="YES",A44&amp;".png","NA")</f>
        <v>NA</v>
      </c>
      <c r="AE44" s="5" t="str">
        <f>Legacy_Backup!AB44</f>
        <v/>
      </c>
      <c r="AF44" s="5"/>
      <c r="AG44" s="5"/>
      <c r="AH44" s="5" t="str">
        <f>IF(LEFT(Legacy_Backup!AC44,1)="v",Legacy_Backup!AC44,"v"&amp;Legacy_Backup!AC44)</f>
        <v>v1.0</v>
      </c>
    </row>
    <row r="45">
      <c r="A45" s="4" t="s">
        <v>779</v>
      </c>
      <c r="B45" s="4">
        <v>8.0</v>
      </c>
      <c r="C45" s="4">
        <v>4.0</v>
      </c>
      <c r="D45" s="4" t="s">
        <v>632</v>
      </c>
      <c r="E45" s="4" t="s">
        <v>631</v>
      </c>
      <c r="F45" s="4">
        <v>22.0</v>
      </c>
      <c r="G45" s="4" t="s">
        <v>780</v>
      </c>
      <c r="H45" s="4" t="s">
        <v>781</v>
      </c>
      <c r="I45" s="4" t="s">
        <v>782</v>
      </c>
      <c r="J45" s="5" t="str">
        <f>Legacy_Backup!G45</f>
        <v>Budgeting</v>
      </c>
      <c r="K45" s="5" t="str">
        <f t="shared" si="1"/>
        <v>001</v>
      </c>
      <c r="L45" s="5" t="str">
        <f>Legacy_Backup!H45</f>
        <v>Distinguish needs from wants in a limited budget</v>
      </c>
      <c r="M45" s="5" t="str">
        <f>IFERROR(__xludf.DUMMYFUNCTION("IF(REGEXMATCH(UPPER(Legacy_Backup!I45),""KNOW""),""Know"",IF(REGEXMATCH(UPPER(Legacy_Backup!I45),""IMAGINE|INNOVATION""),""Imagine"",""Think""))"),"Think")</f>
        <v>Think</v>
      </c>
      <c r="N45" s="5" t="str">
        <f>IFERROR(__xludf.DUMMYFUNCTION("IF(REGEXMATCH(UPPER(Legacy_Backup!J45),""FUTURE""),""Future-Oriented"",IF(REGEXMATCH(UPPER(Legacy_Backup!J45),""KNOWLEDGE""),""Knowledge-Based"",IF(REGEXMATCH(UPPER(Legacy_Backup!J45),""DECISION""),""Decision-Making"",""Situation-Based"")))"),"Situation-Based")</f>
        <v>Situation-Based</v>
      </c>
      <c r="O45" s="5" t="str">
        <f>IF(UPPER(Legacy_Backup!K45)="HARD","Difficult",PROPER(Legacy_Backup!K45))</f>
        <v>Easy</v>
      </c>
      <c r="P45" s="5" t="str">
        <f>IF(UPPER(Legacy_Backup!O45)="YES","Visual","Text")</f>
        <v>Text</v>
      </c>
      <c r="Q45" s="5" t="str">
        <f>PROPER(Legacy_Backup!O45)</f>
        <v>No</v>
      </c>
      <c r="R45" s="5" t="str">
        <f>IF(UPPER(Legacy_Backup!O45)="YES",IF(Legacy_Backup!Y45&lt;&gt;"",Legacy_Backup!Y45,"Image required"),"NA")</f>
        <v>NA</v>
      </c>
      <c r="S45" s="5" t="str">
        <f>IF(UPPER(Legacy_Backup!O45)="YES",IF(Legacy_Backup!Z45&lt;&gt;"",Legacy_Backup!Z45,"Prompt required"),"NA")</f>
        <v>NA</v>
      </c>
      <c r="T45" s="5" t="str">
        <f>IF(Legacy_Backup!L45&lt;&gt;"",PROPER(Legacy_Backup!L45),"Apply")</f>
        <v>Analyze</v>
      </c>
      <c r="U45" s="5" t="str">
        <f>Legacy_Backup!P45</f>
        <v>Meera has ₹500. She needs a notebook for ₹120 and bus fare of ₹200, and wants headphones for ₹350. What is the wisest choice?</v>
      </c>
      <c r="V45" s="5" t="str">
        <f>Legacy_Backup!Q45</f>
        <v>Buy headphones first</v>
      </c>
      <c r="W45" s="5" t="str">
        <f>Legacy_Backup!R45</f>
        <v>Borrow money for all three</v>
      </c>
      <c r="X45" s="5" t="str">
        <f>Legacy_Backup!S45</f>
        <v>Spend everything on snacks</v>
      </c>
      <c r="Y45" s="5" t="str">
        <f>Legacy_Backup!T45</f>
        <v>Pay for the notebook and bus fare, then save the rest</v>
      </c>
      <c r="Z45" s="5" t="str">
        <f>Legacy_Backup!U45</f>
        <v>D</v>
      </c>
      <c r="AA45" s="5" t="str">
        <f>Legacy_Backup!W45</f>
        <v>Pay for the notebook and bus fare, then save the rest is the best choice because it directly applies budgeting to the situation and addresses the stated need with a practical, responsible action.</v>
      </c>
      <c r="AB45" s="5" t="str">
        <f>Legacy_Backup!X45</f>
        <v>Builds practical financial awareness for future study, work and responsible citizenship.</v>
      </c>
      <c r="AC45" s="5" t="str">
        <f>Legacy_Backup!M45</f>
        <v>Financial Awareness</v>
      </c>
      <c r="AD45" s="5" t="str">
        <f>IF(UPPER(Legacy_Backup!O45)="YES",A45&amp;".png","NA")</f>
        <v>NA</v>
      </c>
      <c r="AE45" s="5" t="str">
        <f>Legacy_Backup!AB45</f>
        <v/>
      </c>
      <c r="AF45" s="5"/>
      <c r="AG45" s="5"/>
      <c r="AH45" s="5" t="str">
        <f>IF(LEFT(Legacy_Backup!AC45,1)="v",Legacy_Backup!AC45,"v"&amp;Legacy_Backup!AC45)</f>
        <v>v1.0</v>
      </c>
    </row>
    <row r="46">
      <c r="A46" s="4" t="s">
        <v>783</v>
      </c>
      <c r="B46" s="4">
        <v>8.0</v>
      </c>
      <c r="C46" s="4">
        <v>4.0</v>
      </c>
      <c r="D46" s="4" t="s">
        <v>632</v>
      </c>
      <c r="E46" s="4" t="s">
        <v>631</v>
      </c>
      <c r="F46" s="4">
        <v>23.0</v>
      </c>
      <c r="G46" s="4" t="s">
        <v>784</v>
      </c>
      <c r="H46" s="4" t="s">
        <v>785</v>
      </c>
      <c r="I46" s="4" t="s">
        <v>786</v>
      </c>
      <c r="J46" s="5" t="str">
        <f>Legacy_Backup!G46</f>
        <v>Saving Goals</v>
      </c>
      <c r="K46" s="5" t="str">
        <f t="shared" si="1"/>
        <v>002</v>
      </c>
      <c r="L46" s="5" t="str">
        <f>Legacy_Backup!H46</f>
        <v>Make a simple saving plan</v>
      </c>
      <c r="M46" s="5" t="str">
        <f>IFERROR(__xludf.DUMMYFUNCTION("IF(REGEXMATCH(UPPER(Legacy_Backup!I46),""KNOW""),""Know"",IF(REGEXMATCH(UPPER(Legacy_Backup!I46),""IMAGINE|INNOVATION""),""Imagine"",""Think""))"),"Think")</f>
        <v>Think</v>
      </c>
      <c r="N46" s="5" t="str">
        <f>IFERROR(__xludf.DUMMYFUNCTION("IF(REGEXMATCH(UPPER(Legacy_Backup!J46),""FUTURE""),""Future-Oriented"",IF(REGEXMATCH(UPPER(Legacy_Backup!J46),""KNOWLEDGE""),""Knowledge-Based"",IF(REGEXMATCH(UPPER(Legacy_Backup!J46),""DECISION""),""Decision-Making"",""Situation-Based"")))"),"Situation-Based")</f>
        <v>Situation-Based</v>
      </c>
      <c r="O46" s="5" t="str">
        <f>IF(UPPER(Legacy_Backup!K46)="HARD","Difficult",PROPER(Legacy_Backup!K46))</f>
        <v>Easy</v>
      </c>
      <c r="P46" s="5" t="str">
        <f>IF(UPPER(Legacy_Backup!O46)="YES","Visual","Text")</f>
        <v>Visual</v>
      </c>
      <c r="Q46" s="5" t="str">
        <f>PROPER(Legacy_Backup!O46)</f>
        <v>Yes</v>
      </c>
      <c r="R46" s="5" t="str">
        <f>IF(UPPER(Legacy_Backup!O46)="YES",IF(Legacy_Backup!Y46&lt;&gt;"",Legacy_Backup!Y46,"Image required"),"NA")</f>
        <v>A clean Grade 8 educational table or chart illustrating: A student wants ₹600 for a course in six months. How much should be saved each month?</v>
      </c>
      <c r="S46" s="5" t="str">
        <f>IF(UPPER(Legacy_Backup!O46)="YES",IF(Legacy_Backup!Z46&lt;&gt;"",Legacy_Backup!Z46,"Prompt required"),"NA")</f>
        <v>Create a clear, age-appropriate educational visual for Grade 8. Show only the information needed for this MCQ: A student wants ₹600 for a course in six months. How much should be saved each month? Use a light background, simple labels, high contrast, no answer clues, landscape 4:3.</v>
      </c>
      <c r="T46" s="5" t="str">
        <f>IF(Legacy_Backup!L46&lt;&gt;"",PROPER(Legacy_Backup!L46),"Apply")</f>
        <v>Analyze</v>
      </c>
      <c r="U46" s="5" t="str">
        <f>Legacy_Backup!P46</f>
        <v>Study the image. How much should be saved each month to achieve the goal?</v>
      </c>
      <c r="V46" s="5" t="str">
        <f>Legacy_Backup!Q46</f>
        <v>₹100</v>
      </c>
      <c r="W46" s="5" t="str">
        <f>Legacy_Backup!R46</f>
        <v>₹50</v>
      </c>
      <c r="X46" s="5" t="str">
        <f>Legacy_Backup!S46</f>
        <v>₹75</v>
      </c>
      <c r="Y46" s="5" t="str">
        <f>Legacy_Backup!T46</f>
        <v>₹150</v>
      </c>
      <c r="Z46" s="5" t="str">
        <f>Legacy_Backup!U46</f>
        <v>A</v>
      </c>
      <c r="AA46" s="5" t="str">
        <f>Legacy_Backup!W46</f>
        <v>₹100 is the best choice because it directly applies saving goals to the situation and addresses the stated need with a practical, responsible action.</v>
      </c>
      <c r="AB46" s="5" t="str">
        <f>Legacy_Backup!X46</f>
        <v>Builds practical financial awareness for future study, work and responsible citizenship.</v>
      </c>
      <c r="AC46" s="5" t="str">
        <f>Legacy_Backup!M46</f>
        <v>Financial Awareness</v>
      </c>
      <c r="AD46" s="5" t="str">
        <f>IF(UPPER(Legacy_Backup!O46)="YES",A46&amp;".png","NA")</f>
        <v>08_FRD_SIF_002.png</v>
      </c>
      <c r="AE46" s="5" t="str">
        <f>Legacy_Backup!AB46</f>
        <v/>
      </c>
      <c r="AF46" s="5"/>
      <c r="AG46" s="5"/>
      <c r="AH46" s="5" t="str">
        <f>IF(LEFT(Legacy_Backup!AC46,1)="v",Legacy_Backup!AC46,"v"&amp;Legacy_Backup!AC46)</f>
        <v>v1.0</v>
      </c>
    </row>
    <row r="47">
      <c r="A47" s="4" t="s">
        <v>787</v>
      </c>
      <c r="B47" s="4">
        <v>8.0</v>
      </c>
      <c r="C47" s="4">
        <v>4.0</v>
      </c>
      <c r="D47" s="4" t="s">
        <v>632</v>
      </c>
      <c r="E47" s="4" t="s">
        <v>631</v>
      </c>
      <c r="F47" s="4">
        <v>22.0</v>
      </c>
      <c r="G47" s="4" t="s">
        <v>780</v>
      </c>
      <c r="H47" s="4" t="s">
        <v>781</v>
      </c>
      <c r="I47" s="4" t="s">
        <v>788</v>
      </c>
      <c r="J47" s="5" t="str">
        <f>Legacy_Backup!G47</f>
        <v>Price Comparison</v>
      </c>
      <c r="K47" s="5" t="str">
        <f t="shared" si="1"/>
        <v>003</v>
      </c>
      <c r="L47" s="5" t="str">
        <f>Legacy_Backup!H47</f>
        <v>Compare value using unit prices</v>
      </c>
      <c r="M47" s="5" t="str">
        <f>IFERROR(__xludf.DUMMYFUNCTION("IF(REGEXMATCH(UPPER(Legacy_Backup!I47),""KNOW""),""Know"",IF(REGEXMATCH(UPPER(Legacy_Backup!I47),""IMAGINE|INNOVATION""),""Imagine"",""Think""))"),"Think")</f>
        <v>Think</v>
      </c>
      <c r="N47" s="5" t="str">
        <f>IFERROR(__xludf.DUMMYFUNCTION("IF(REGEXMATCH(UPPER(Legacy_Backup!J47),""FUTURE""),""Future-Oriented"",IF(REGEXMATCH(UPPER(Legacy_Backup!J47),""KNOWLEDGE""),""Knowledge-Based"",IF(REGEXMATCH(UPPER(Legacy_Backup!J47),""DECISION""),""Decision-Making"",""Situation-Based"")))"),"Situation-Based")</f>
        <v>Situation-Based</v>
      </c>
      <c r="O47" s="5" t="str">
        <f>IF(UPPER(Legacy_Backup!K47)="HARD","Difficult",PROPER(Legacy_Backup!K47))</f>
        <v>Easy</v>
      </c>
      <c r="P47" s="5" t="str">
        <f>IF(UPPER(Legacy_Backup!O47)="YES","Visual","Text")</f>
        <v>Visual</v>
      </c>
      <c r="Q47" s="5" t="str">
        <f>PROPER(Legacy_Backup!O47)</f>
        <v>Yes</v>
      </c>
      <c r="R47" s="5" t="str">
        <f>IF(UPPER(Legacy_Backup!O47)="YES",IF(Legacy_Backup!Y47&lt;&gt;"",Legacy_Backup!Y47,"Image required"),"NA")</f>
        <v>A clean Grade 8 educational real-life scene illustrating: A chart shows 5 pens for ₹50 and 8 similar pens for ₹72. Which pack has the lower cost per pen?</v>
      </c>
      <c r="S47" s="5" t="str">
        <f>IF(UPPER(Legacy_Backup!O47)="YES",IF(Legacy_Backup!Z47&lt;&gt;"",Legacy_Backup!Z47,"Prompt required"),"NA")</f>
        <v>Create a clear, age-appropriate educational visual for Grade 8. Show only the information needed for this MCQ: A chart shows 5 pens for ₹50 and 8 similar pens for ₹72. Which pack has the lower cost per pen? Use a light background, simple labels, high contrast, no answer clues, landscape 4:3.</v>
      </c>
      <c r="T47" s="5" t="str">
        <f>IF(Legacy_Backup!L47&lt;&gt;"",PROPER(Legacy_Backup!L47),"Apply")</f>
        <v>Analyze</v>
      </c>
      <c r="U47" s="5" t="str">
        <f>Legacy_Backup!P47</f>
        <v>Study the chart. Which pack has the lower cost per pen?</v>
      </c>
      <c r="V47" s="5" t="str">
        <f>Legacy_Backup!Q47</f>
        <v>The 5-pen pack</v>
      </c>
      <c r="W47" s="5" t="str">
        <f>Legacy_Backup!R47</f>
        <v>The 8-pen pack</v>
      </c>
      <c r="X47" s="5" t="str">
        <f>Legacy_Backup!S47</f>
        <v>Both cost the same per pen</v>
      </c>
      <c r="Y47" s="5" t="str">
        <f>Legacy_Backup!T47</f>
        <v>There is not enough information</v>
      </c>
      <c r="Z47" s="5" t="str">
        <f>Legacy_Backup!U47</f>
        <v>B</v>
      </c>
      <c r="AA47" s="5" t="str">
        <f>Legacy_Backup!W47</f>
        <v>The 8-pen pack is the best choice because it directly applies price comparison to the situation and addresses the stated need with a practical, responsible action.</v>
      </c>
      <c r="AB47" s="5" t="str">
        <f>Legacy_Backup!X47</f>
        <v>Builds practical financial awareness for future study, work and responsible citizenship.</v>
      </c>
      <c r="AC47" s="5" t="str">
        <f>Legacy_Backup!M47</f>
        <v>Financial Awareness</v>
      </c>
      <c r="AD47" s="5" t="str">
        <f>IF(UPPER(Legacy_Backup!O47)="YES",A47&amp;".png","NA")</f>
        <v>08_FRD_MMD_003.png</v>
      </c>
      <c r="AE47" s="5" t="str">
        <f>Legacy_Backup!AB47</f>
        <v/>
      </c>
      <c r="AF47" s="5"/>
      <c r="AG47" s="5"/>
      <c r="AH47" s="5" t="str">
        <f>IF(LEFT(Legacy_Backup!AC47,1)="v",Legacy_Backup!AC47,"v"&amp;Legacy_Backup!AC47)</f>
        <v>v1.0</v>
      </c>
    </row>
    <row r="48">
      <c r="A48" s="4" t="s">
        <v>789</v>
      </c>
      <c r="B48" s="4">
        <v>8.0</v>
      </c>
      <c r="C48" s="4">
        <v>4.0</v>
      </c>
      <c r="D48" s="4" t="s">
        <v>632</v>
      </c>
      <c r="E48" s="4" t="s">
        <v>631</v>
      </c>
      <c r="F48" s="4">
        <v>24.0</v>
      </c>
      <c r="G48" s="4" t="s">
        <v>790</v>
      </c>
      <c r="H48" s="4" t="s">
        <v>791</v>
      </c>
      <c r="I48" s="4" t="s">
        <v>792</v>
      </c>
      <c r="J48" s="5" t="str">
        <f>Legacy_Backup!G48</f>
        <v>Digital Payment Safety</v>
      </c>
      <c r="K48" s="5" t="str">
        <f t="shared" si="1"/>
        <v>004</v>
      </c>
      <c r="L48" s="5" t="str">
        <f>Legacy_Backup!H48</f>
        <v>Protect financial information during payment</v>
      </c>
      <c r="M48" s="5" t="str">
        <f>IFERROR(__xludf.DUMMYFUNCTION("IF(REGEXMATCH(UPPER(Legacy_Backup!I48),""KNOW""),""Know"",IF(REGEXMATCH(UPPER(Legacy_Backup!I48),""IMAGINE|INNOVATION""),""Imagine"",""Think""))"),"Think")</f>
        <v>Think</v>
      </c>
      <c r="N48" s="5" t="str">
        <f>IFERROR(__xludf.DUMMYFUNCTION("IF(REGEXMATCH(UPPER(Legacy_Backup!J48),""FUTURE""),""Future-Oriented"",IF(REGEXMATCH(UPPER(Legacy_Backup!J48),""KNOWLEDGE""),""Knowledge-Based"",IF(REGEXMATCH(UPPER(Legacy_Backup!J48),""DECISION""),""Decision-Making"",""Situation-Based"")))"),"Situation-Based")</f>
        <v>Situation-Based</v>
      </c>
      <c r="O48" s="5" t="str">
        <f>IF(UPPER(Legacy_Backup!K48)="HARD","Difficult",PROPER(Legacy_Backup!K48))</f>
        <v>Easy</v>
      </c>
      <c r="P48" s="5" t="str">
        <f>IF(UPPER(Legacy_Backup!O48)="YES","Visual","Text")</f>
        <v>Text</v>
      </c>
      <c r="Q48" s="5" t="str">
        <f>PROPER(Legacy_Backup!O48)</f>
        <v>No</v>
      </c>
      <c r="R48" s="5" t="str">
        <f>IF(UPPER(Legacy_Backup!O48)="YES",IF(Legacy_Backup!Y48&lt;&gt;"",Legacy_Backup!Y48,"Image required"),"NA")</f>
        <v>NA</v>
      </c>
      <c r="S48" s="5" t="str">
        <f>IF(UPPER(Legacy_Backup!O48)="YES",IF(Legacy_Backup!Z48&lt;&gt;"",Legacy_Backup!Z48,"Prompt required"),"NA")</f>
        <v>NA</v>
      </c>
      <c r="T48" s="5" t="str">
        <f>IF(Legacy_Backup!L48&lt;&gt;"",PROPER(Legacy_Backup!L48),"Apply")</f>
        <v>Evaluate</v>
      </c>
      <c r="U48" s="5" t="str">
        <f>Legacy_Backup!P48</f>
        <v>A caller asks Raja for an OTP to “confirm a refund.” What should the account holder do?</v>
      </c>
      <c r="V48" s="5" t="str">
        <f>Legacy_Backup!Q48</f>
        <v>Share it if the caller sounds polite</v>
      </c>
      <c r="W48" s="5" t="str">
        <f>Legacy_Backup!R48</f>
        <v>Share only the last two digits</v>
      </c>
      <c r="X48" s="5" t="str">
        <f>Legacy_Backup!S48</f>
        <v>Never share the OTP </v>
      </c>
      <c r="Y48" s="5" t="str">
        <f>Legacy_Backup!T48</f>
        <v>Post the OTP in the help chat</v>
      </c>
      <c r="Z48" s="5" t="str">
        <f>Legacy_Backup!U48</f>
        <v>C</v>
      </c>
      <c r="AA48" s="5" t="str">
        <f>Legacy_Backup!W48</f>
        <v>Never share the OTP and contact the bank through an official channel is the best choice because it directly applies digital payment safety to the situation and addresses the stated need with a practical, responsible action.</v>
      </c>
      <c r="AB48" s="5" t="str">
        <f>Legacy_Backup!X48</f>
        <v>Builds practical financial awareness for future study, work and responsible citizenship.</v>
      </c>
      <c r="AC48" s="5" t="str">
        <f>Legacy_Backup!M48</f>
        <v>Financial Awareness</v>
      </c>
      <c r="AD48" s="5" t="str">
        <f>IF(UPPER(Legacy_Backup!O48)="YES",A48&amp;".png","NA")</f>
        <v>NA</v>
      </c>
      <c r="AE48" s="5" t="str">
        <f>Legacy_Backup!AB48</f>
        <v/>
      </c>
      <c r="AF48" s="5"/>
      <c r="AG48" s="5"/>
      <c r="AH48" s="5" t="str">
        <f>IF(LEFT(Legacy_Backup!AC48,1)="v",Legacy_Backup!AC48,"v"&amp;Legacy_Backup!AC48)</f>
        <v>v1.0</v>
      </c>
    </row>
    <row r="49">
      <c r="A49" s="4" t="s">
        <v>793</v>
      </c>
      <c r="B49" s="4">
        <v>8.0</v>
      </c>
      <c r="C49" s="4">
        <v>4.0</v>
      </c>
      <c r="D49" s="4" t="s">
        <v>632</v>
      </c>
      <c r="E49" s="4" t="s">
        <v>631</v>
      </c>
      <c r="F49" s="4">
        <v>22.0</v>
      </c>
      <c r="G49" s="4" t="s">
        <v>780</v>
      </c>
      <c r="H49" s="4" t="s">
        <v>781</v>
      </c>
      <c r="I49" s="4" t="s">
        <v>794</v>
      </c>
      <c r="J49" s="5" t="str">
        <f>Legacy_Backup!G49</f>
        <v>Income and Expense</v>
      </c>
      <c r="K49" s="5" t="str">
        <f t="shared" si="1"/>
        <v>005</v>
      </c>
      <c r="L49" s="5" t="str">
        <f>Legacy_Backup!H49</f>
        <v>Calculate remaining money after expenses</v>
      </c>
      <c r="M49" s="5" t="str">
        <f>IFERROR(__xludf.DUMMYFUNCTION("IF(REGEXMATCH(UPPER(Legacy_Backup!I49),""KNOW""),""Know"",IF(REGEXMATCH(UPPER(Legacy_Backup!I49),""IMAGINE|INNOVATION""),""Imagine"",""Think""))"),"Imagine")</f>
        <v>Imagine</v>
      </c>
      <c r="N49" s="5" t="str">
        <f>IFERROR(__xludf.DUMMYFUNCTION("IF(REGEXMATCH(UPPER(Legacy_Backup!J49),""FUTURE""),""Future-Oriented"",IF(REGEXMATCH(UPPER(Legacy_Backup!J49),""KNOWLEDGE""),""Knowledge-Based"",IF(REGEXMATCH(UPPER(Legacy_Backup!J49),""DECISION""),""Decision-Making"",""Situation-Based"")))"),"Situation-Based")</f>
        <v>Situation-Based</v>
      </c>
      <c r="O49" s="5" t="str">
        <f>IF(UPPER(Legacy_Backup!K49)="HARD","Difficult",PROPER(Legacy_Backup!K49))</f>
        <v>Easy</v>
      </c>
      <c r="P49" s="5" t="str">
        <f>IF(UPPER(Legacy_Backup!O49)="YES","Visual","Text")</f>
        <v>Text</v>
      </c>
      <c r="Q49" s="5" t="str">
        <f>PROPER(Legacy_Backup!O49)</f>
        <v>No</v>
      </c>
      <c r="R49" s="5" t="str">
        <f>IF(UPPER(Legacy_Backup!O49)="YES",IF(Legacy_Backup!Y49&lt;&gt;"",Legacy_Backup!Y49,"Image required"),"NA")</f>
        <v>NA</v>
      </c>
      <c r="S49" s="5" t="str">
        <f>IF(UPPER(Legacy_Backup!O49)="YES",IF(Legacy_Backup!Z49&lt;&gt;"",Legacy_Backup!Z49,"Prompt required"),"NA")</f>
        <v>NA</v>
      </c>
      <c r="T49" s="5" t="str">
        <f>IF(Legacy_Backup!L49&lt;&gt;"",PROPER(Legacy_Backup!L49),"Apply")</f>
        <v>Create</v>
      </c>
      <c r="U49" s="5" t="str">
        <f>Legacy_Backup!P49</f>
        <v>Kabir earns ₹800 from a weekend project and spends ₹250 on materials and ₹150 on travel. How much remains?</v>
      </c>
      <c r="V49" s="5" t="str">
        <f>Legacy_Backup!Q49</f>
        <v>₹300</v>
      </c>
      <c r="W49" s="5" t="str">
        <f>Legacy_Backup!R49</f>
        <v>₹500</v>
      </c>
      <c r="X49" s="5" t="str">
        <f>Legacy_Backup!S49</f>
        <v>₹600</v>
      </c>
      <c r="Y49" s="5" t="str">
        <f>Legacy_Backup!T49</f>
        <v>₹400</v>
      </c>
      <c r="Z49" s="5" t="str">
        <f>Legacy_Backup!U49</f>
        <v>D</v>
      </c>
      <c r="AA49" s="5" t="str">
        <f>Legacy_Backup!W49</f>
        <v>₹400 is the best choice because it directly applies income and expense to the situation and addresses the stated need with a practical, responsible action.</v>
      </c>
      <c r="AB49" s="5" t="str">
        <f>Legacy_Backup!X49</f>
        <v>Builds practical financial awareness for future study, work and responsible citizenship.</v>
      </c>
      <c r="AC49" s="5" t="str">
        <f>Legacy_Backup!M49</f>
        <v>Financial Awareness</v>
      </c>
      <c r="AD49" s="5" t="str">
        <f>IF(UPPER(Legacy_Backup!O49)="YES",A49&amp;".png","NA")</f>
        <v>NA</v>
      </c>
      <c r="AE49" s="5" t="str">
        <f>Legacy_Backup!AB49</f>
        <v/>
      </c>
      <c r="AF49" s="5"/>
      <c r="AG49" s="5"/>
      <c r="AH49" s="5" t="str">
        <f>IF(LEFT(Legacy_Backup!AC49,1)="v",Legacy_Backup!AC49,"v"&amp;Legacy_Backup!AC49)</f>
        <v>v1.0</v>
      </c>
    </row>
    <row r="50">
      <c r="A50" s="4" t="s">
        <v>795</v>
      </c>
      <c r="B50" s="4">
        <v>8.0</v>
      </c>
      <c r="C50" s="4">
        <v>4.0</v>
      </c>
      <c r="D50" s="4" t="s">
        <v>632</v>
      </c>
      <c r="E50" s="4" t="s">
        <v>631</v>
      </c>
      <c r="F50" s="4">
        <v>23.0</v>
      </c>
      <c r="G50" s="4" t="s">
        <v>784</v>
      </c>
      <c r="H50" s="4" t="s">
        <v>785</v>
      </c>
      <c r="I50" s="4" t="s">
        <v>796</v>
      </c>
      <c r="J50" s="5" t="str">
        <f>Legacy_Backup!G50</f>
        <v>Financial Risk</v>
      </c>
      <c r="K50" s="5" t="str">
        <f t="shared" si="1"/>
        <v>006</v>
      </c>
      <c r="L50" s="5" t="str">
        <f>Legacy_Backup!H50</f>
        <v>Choose a low-risk response to an unrealistic offer</v>
      </c>
      <c r="M50" s="5" t="str">
        <f>IFERROR(__xludf.DUMMYFUNCTION("IF(REGEXMATCH(UPPER(Legacy_Backup!I50),""KNOW""),""Know"",IF(REGEXMATCH(UPPER(Legacy_Backup!I50),""IMAGINE|INNOVATION""),""Imagine"",""Think""))"),"Think")</f>
        <v>Think</v>
      </c>
      <c r="N50" s="5" t="str">
        <f>IFERROR(__xludf.DUMMYFUNCTION("IF(REGEXMATCH(UPPER(Legacy_Backup!J50),""FUTURE""),""Future-Oriented"",IF(REGEXMATCH(UPPER(Legacy_Backup!J50),""KNOWLEDGE""),""Knowledge-Based"",IF(REGEXMATCH(UPPER(Legacy_Backup!J50),""DECISION""),""Decision-Making"",""Situation-Based"")))"),"Situation-Based")</f>
        <v>Situation-Based</v>
      </c>
      <c r="O50" s="5" t="str">
        <f>IF(UPPER(Legacy_Backup!K50)="HARD","Difficult",PROPER(Legacy_Backup!K50))</f>
        <v>Easy</v>
      </c>
      <c r="P50" s="5" t="str">
        <f>IF(UPPER(Legacy_Backup!O50)="YES","Visual","Text")</f>
        <v>Text</v>
      </c>
      <c r="Q50" s="5" t="str">
        <f>PROPER(Legacy_Backup!O50)</f>
        <v>No</v>
      </c>
      <c r="R50" s="5" t="str">
        <f>IF(UPPER(Legacy_Backup!O50)="YES",IF(Legacy_Backup!Y50&lt;&gt;"",Legacy_Backup!Y50,"Image required"),"NA")</f>
        <v>NA</v>
      </c>
      <c r="S50" s="5" t="str">
        <f>IF(UPPER(Legacy_Backup!O50)="YES",IF(Legacy_Backup!Z50&lt;&gt;"",Legacy_Backup!Z50,"Prompt required"),"NA")</f>
        <v>NA</v>
      </c>
      <c r="T50" s="5" t="str">
        <f>IF(Legacy_Backup!L50&lt;&gt;"",PROPER(Legacy_Backup!L50),"Apply")</f>
        <v>Apply</v>
      </c>
      <c r="U50" s="5" t="str">
        <f>Legacy_Backup!P50</f>
        <v>An online ad promises to double money in two days with “zero risk.” What should a student do?</v>
      </c>
      <c r="V50" s="5" t="str">
        <f>Legacy_Backup!Q50</f>
        <v>Avoid it and discuss it with a trusted adult</v>
      </c>
      <c r="W50" s="5" t="str">
        <f>Legacy_Backup!R50</f>
        <v>Invest immediately and wait for the results</v>
      </c>
      <c r="X50" s="5" t="str">
        <f>Legacy_Backup!S50</f>
        <v>Borrow money from friends to invest more</v>
      </c>
      <c r="Y50" s="5" t="str">
        <f>Legacy_Backup!T50</f>
        <v>Share it with classmates &amp; invite them to earn more money</v>
      </c>
      <c r="Z50" s="5" t="str">
        <f>Legacy_Backup!U50</f>
        <v>A</v>
      </c>
      <c r="AA50" s="5" t="str">
        <f>Legacy_Backup!W50</f>
        <v>Avoid it and discuss it with a trusted adult is the best choice because it directly applies financial risk to the situation and addresses the stated need with a practical, responsible action.</v>
      </c>
      <c r="AB50" s="5" t="str">
        <f>Legacy_Backup!X50</f>
        <v>Builds practical financial awareness for future study, work and responsible citizenship.</v>
      </c>
      <c r="AC50" s="5" t="str">
        <f>Legacy_Backup!M50</f>
        <v>Financial Awareness</v>
      </c>
      <c r="AD50" s="5" t="str">
        <f>IF(UPPER(Legacy_Backup!O50)="YES",A50&amp;".png","NA")</f>
        <v>NA</v>
      </c>
      <c r="AE50" s="5" t="str">
        <f>Legacy_Backup!AB50</f>
        <v/>
      </c>
      <c r="AF50" s="5"/>
      <c r="AG50" s="5"/>
      <c r="AH50" s="5" t="str">
        <f>IF(LEFT(Legacy_Backup!AC50,1)="v",Legacy_Backup!AC50,"v"&amp;Legacy_Backup!AC50)</f>
        <v>v1.0</v>
      </c>
    </row>
    <row r="51">
      <c r="A51" s="4" t="s">
        <v>797</v>
      </c>
      <c r="B51" s="4">
        <v>8.0</v>
      </c>
      <c r="C51" s="4">
        <v>4.0</v>
      </c>
      <c r="D51" s="4" t="s">
        <v>632</v>
      </c>
      <c r="E51" s="4" t="s">
        <v>631</v>
      </c>
      <c r="F51" s="4">
        <v>22.0</v>
      </c>
      <c r="G51" s="4" t="s">
        <v>780</v>
      </c>
      <c r="H51" s="4" t="s">
        <v>781</v>
      </c>
      <c r="I51" s="4" t="s">
        <v>798</v>
      </c>
      <c r="J51" s="5" t="str">
        <f>Legacy_Backup!G51</f>
        <v>Responsible Borrowing</v>
      </c>
      <c r="K51" s="5" t="str">
        <f t="shared" si="1"/>
        <v>007</v>
      </c>
      <c r="L51" s="5" t="str">
        <f>Legacy_Backup!H51</f>
        <v>Understand the obligation created by borrowing</v>
      </c>
      <c r="M51" s="5" t="str">
        <f>IFERROR(__xludf.DUMMYFUNCTION("IF(REGEXMATCH(UPPER(Legacy_Backup!I51),""KNOW""),""Know"",IF(REGEXMATCH(UPPER(Legacy_Backup!I51),""IMAGINE|INNOVATION""),""Imagine"",""Think""))"),"Think")</f>
        <v>Think</v>
      </c>
      <c r="N51" s="5" t="str">
        <f>IFERROR(__xludf.DUMMYFUNCTION("IF(REGEXMATCH(UPPER(Legacy_Backup!J51),""FUTURE""),""Future-Oriented"",IF(REGEXMATCH(UPPER(Legacy_Backup!J51),""KNOWLEDGE""),""Knowledge-Based"",IF(REGEXMATCH(UPPER(Legacy_Backup!J51),""DECISION""),""Decision-Making"",""Situation-Based"")))"),"Situation-Based")</f>
        <v>Situation-Based</v>
      </c>
      <c r="O51" s="5" t="str">
        <f>IF(UPPER(Legacy_Backup!K51)="HARD","Difficult",PROPER(Legacy_Backup!K51))</f>
        <v>Easy</v>
      </c>
      <c r="P51" s="5" t="str">
        <f>IF(UPPER(Legacy_Backup!O51)="YES","Visual","Text")</f>
        <v>Text</v>
      </c>
      <c r="Q51" s="5" t="str">
        <f>PROPER(Legacy_Backup!O51)</f>
        <v>No</v>
      </c>
      <c r="R51" s="5" t="str">
        <f>IF(UPPER(Legacy_Backup!O51)="YES",IF(Legacy_Backup!Y51&lt;&gt;"",Legacy_Backup!Y51,"Image required"),"NA")</f>
        <v>NA</v>
      </c>
      <c r="S51" s="5" t="str">
        <f>IF(UPPER(Legacy_Backup!O51)="YES",IF(Legacy_Backup!Z51&lt;&gt;"",Legacy_Backup!Z51,"Prompt required"),"NA")</f>
        <v>NA</v>
      </c>
      <c r="T51" s="5" t="str">
        <f>IF(Legacy_Backup!L51&lt;&gt;"",PROPER(Legacy_Backup!L51),"Apply")</f>
        <v>Analyze</v>
      </c>
      <c r="U51" s="5" t="str">
        <f>Legacy_Backup!P51</f>
        <v>A student borrows ₹300 from a friend for a necessary book. Which action is most responsible?</v>
      </c>
      <c r="V51" s="5" t="str">
        <f>Legacy_Backup!Q51</f>
        <v>Avoid mentioning repayment</v>
      </c>
      <c r="W51" s="5" t="str">
        <f>Legacy_Backup!R51</f>
        <v>Agree on when and how the money will be repaid</v>
      </c>
      <c r="X51" s="5" t="str">
        <f>Legacy_Backup!S51</f>
        <v>Borrow from another friend to buy a game</v>
      </c>
      <c r="Y51" s="5" t="str">
        <f>Legacy_Backup!T51</f>
        <v>Promise an amount that cannot be paid</v>
      </c>
      <c r="Z51" s="5" t="str">
        <f>Legacy_Backup!U51</f>
        <v>B</v>
      </c>
      <c r="AA51" s="5" t="str">
        <f>Legacy_Backup!W51</f>
        <v>Agree on when and how the money will be repaid is the best choice because it directly applies responsible borrowing to the situation and addresses the stated need with a practical, responsible action.</v>
      </c>
      <c r="AB51" s="5" t="str">
        <f>Legacy_Backup!X51</f>
        <v>Builds practical financial awareness for future study, work and responsible citizenship.</v>
      </c>
      <c r="AC51" s="5" t="str">
        <f>Legacy_Backup!M51</f>
        <v>Financial Awareness</v>
      </c>
      <c r="AD51" s="5" t="str">
        <f>IF(UPPER(Legacy_Backup!O51)="YES",A51&amp;".png","NA")</f>
        <v>NA</v>
      </c>
      <c r="AE51" s="5" t="str">
        <f>Legacy_Backup!AB51</f>
        <v/>
      </c>
      <c r="AF51" s="5"/>
      <c r="AG51" s="5"/>
      <c r="AH51" s="5" t="str">
        <f>IF(LEFT(Legacy_Backup!AC51,1)="v",Legacy_Backup!AC51,"v"&amp;Legacy_Backup!AC51)</f>
        <v>v1.0</v>
      </c>
    </row>
  </sheetData>
  <autoFilter ref="$A$1:$AH$5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3" t="s">
        <v>1</v>
      </c>
      <c r="C1" s="3" t="s">
        <v>26</v>
      </c>
      <c r="D1" s="3" t="s">
        <v>28</v>
      </c>
      <c r="E1" s="3" t="s">
        <v>31</v>
      </c>
      <c r="F1" s="3" t="s">
        <v>33</v>
      </c>
      <c r="G1" s="3" t="s">
        <v>9</v>
      </c>
      <c r="H1" s="3" t="s">
        <v>11</v>
      </c>
      <c r="I1" s="3" t="s">
        <v>12</v>
      </c>
      <c r="J1" s="3" t="s">
        <v>13</v>
      </c>
      <c r="K1" s="3" t="s">
        <v>14</v>
      </c>
      <c r="L1" s="3" t="s">
        <v>39</v>
      </c>
      <c r="M1" s="3" t="s">
        <v>30</v>
      </c>
      <c r="N1" s="3" t="s">
        <v>15</v>
      </c>
      <c r="O1" s="3" t="s">
        <v>16</v>
      </c>
      <c r="P1" s="3" t="s">
        <v>20</v>
      </c>
      <c r="Q1" s="3" t="s">
        <v>21</v>
      </c>
      <c r="R1" s="3" t="s">
        <v>22</v>
      </c>
      <c r="S1" s="3" t="s">
        <v>23</v>
      </c>
      <c r="T1" s="3" t="s">
        <v>24</v>
      </c>
      <c r="U1" s="3" t="s">
        <v>25</v>
      </c>
      <c r="V1" s="3" t="s">
        <v>45</v>
      </c>
      <c r="W1" s="3" t="s">
        <v>27</v>
      </c>
      <c r="X1" s="3" t="s">
        <v>29</v>
      </c>
      <c r="Y1" s="3" t="s">
        <v>17</v>
      </c>
      <c r="Z1" s="3" t="s">
        <v>18</v>
      </c>
      <c r="AA1" s="3" t="s">
        <v>46</v>
      </c>
      <c r="AB1" s="3" t="s">
        <v>34</v>
      </c>
      <c r="AC1" s="6" t="s">
        <v>37</v>
      </c>
      <c r="AD1" s="7" t="s">
        <v>47</v>
      </c>
    </row>
    <row r="2">
      <c r="A2" s="8" t="s">
        <v>48</v>
      </c>
      <c r="B2" s="9">
        <v>8.0</v>
      </c>
      <c r="C2" s="9" t="s">
        <v>41</v>
      </c>
      <c r="D2" s="8" t="s">
        <v>40</v>
      </c>
      <c r="E2" s="8" t="s">
        <v>43</v>
      </c>
      <c r="F2" s="8" t="s">
        <v>42</v>
      </c>
      <c r="G2" s="8" t="s">
        <v>42</v>
      </c>
      <c r="H2" s="8" t="s">
        <v>49</v>
      </c>
      <c r="I2" s="8" t="s">
        <v>50</v>
      </c>
      <c r="J2" s="8" t="s">
        <v>51</v>
      </c>
      <c r="K2" s="9" t="s">
        <v>52</v>
      </c>
      <c r="L2" s="9" t="s">
        <v>53</v>
      </c>
      <c r="M2" s="9" t="s">
        <v>54</v>
      </c>
      <c r="N2" s="9" t="s">
        <v>55</v>
      </c>
      <c r="O2" s="9" t="s">
        <v>56</v>
      </c>
      <c r="P2" s="8" t="s">
        <v>57</v>
      </c>
      <c r="Q2" s="10" t="s">
        <v>58</v>
      </c>
      <c r="R2" s="8" t="s">
        <v>59</v>
      </c>
      <c r="S2" s="8" t="s">
        <v>60</v>
      </c>
      <c r="T2" s="8" t="s">
        <v>61</v>
      </c>
      <c r="U2" s="9" t="s">
        <v>62</v>
      </c>
      <c r="V2" s="10" t="s">
        <v>58</v>
      </c>
      <c r="W2" s="8" t="s">
        <v>63</v>
      </c>
      <c r="X2" s="8" t="s">
        <v>64</v>
      </c>
      <c r="Y2" s="11"/>
      <c r="Z2" s="11"/>
      <c r="AA2" s="11"/>
      <c r="AB2" s="11"/>
      <c r="AC2" s="9" t="s">
        <v>65</v>
      </c>
      <c r="AD2" s="12"/>
    </row>
    <row r="3">
      <c r="A3" s="13" t="s">
        <v>66</v>
      </c>
      <c r="B3" s="14">
        <v>8.0</v>
      </c>
      <c r="C3" s="14" t="s">
        <v>41</v>
      </c>
      <c r="D3" s="13" t="s">
        <v>40</v>
      </c>
      <c r="E3" s="13" t="s">
        <v>67</v>
      </c>
      <c r="F3" s="13" t="s">
        <v>68</v>
      </c>
      <c r="G3" s="13" t="s">
        <v>68</v>
      </c>
      <c r="H3" s="13" t="s">
        <v>69</v>
      </c>
      <c r="I3" s="13" t="s">
        <v>70</v>
      </c>
      <c r="J3" s="13" t="s">
        <v>51</v>
      </c>
      <c r="K3" s="14" t="s">
        <v>52</v>
      </c>
      <c r="L3" s="14" t="s">
        <v>71</v>
      </c>
      <c r="M3" s="14" t="s">
        <v>54</v>
      </c>
      <c r="N3" s="14" t="s">
        <v>55</v>
      </c>
      <c r="O3" s="14" t="s">
        <v>56</v>
      </c>
      <c r="P3" s="13" t="s">
        <v>72</v>
      </c>
      <c r="Q3" s="13" t="s">
        <v>73</v>
      </c>
      <c r="R3" s="15" t="s">
        <v>74</v>
      </c>
      <c r="S3" s="13" t="s">
        <v>75</v>
      </c>
      <c r="T3" s="13" t="s">
        <v>76</v>
      </c>
      <c r="U3" s="14" t="s">
        <v>77</v>
      </c>
      <c r="V3" s="15" t="s">
        <v>74</v>
      </c>
      <c r="W3" s="13" t="s">
        <v>78</v>
      </c>
      <c r="X3" s="13" t="s">
        <v>64</v>
      </c>
      <c r="Y3" s="16"/>
      <c r="Z3" s="16"/>
      <c r="AA3" s="16"/>
      <c r="AB3" s="16"/>
      <c r="AC3" s="14" t="s">
        <v>65</v>
      </c>
      <c r="AD3" s="17"/>
    </row>
    <row r="4">
      <c r="A4" s="18" t="s">
        <v>79</v>
      </c>
      <c r="B4" s="19">
        <v>8.0</v>
      </c>
      <c r="C4" s="19" t="s">
        <v>41</v>
      </c>
      <c r="D4" s="18" t="s">
        <v>40</v>
      </c>
      <c r="E4" s="18" t="s">
        <v>80</v>
      </c>
      <c r="F4" s="18" t="s">
        <v>81</v>
      </c>
      <c r="G4" s="18" t="s">
        <v>81</v>
      </c>
      <c r="H4" s="18" t="s">
        <v>82</v>
      </c>
      <c r="I4" s="18" t="s">
        <v>83</v>
      </c>
      <c r="J4" s="18" t="s">
        <v>51</v>
      </c>
      <c r="K4" s="19" t="s">
        <v>52</v>
      </c>
      <c r="L4" s="19" t="s">
        <v>71</v>
      </c>
      <c r="M4" s="19" t="s">
        <v>54</v>
      </c>
      <c r="N4" s="19" t="s">
        <v>55</v>
      </c>
      <c r="O4" s="19" t="s">
        <v>84</v>
      </c>
      <c r="P4" s="20" t="s">
        <v>85</v>
      </c>
      <c r="Q4" s="18" t="s">
        <v>86</v>
      </c>
      <c r="R4" s="18" t="s">
        <v>87</v>
      </c>
      <c r="S4" s="18" t="s">
        <v>89</v>
      </c>
      <c r="T4" s="18" t="s">
        <v>90</v>
      </c>
      <c r="U4" s="19" t="s">
        <v>91</v>
      </c>
      <c r="V4" s="18" t="s">
        <v>89</v>
      </c>
      <c r="W4" s="18" t="s">
        <v>93</v>
      </c>
      <c r="X4" s="18" t="s">
        <v>64</v>
      </c>
      <c r="Y4" s="18" t="s">
        <v>96</v>
      </c>
      <c r="Z4" s="18" t="s">
        <v>97</v>
      </c>
      <c r="AA4" s="18" t="s">
        <v>98</v>
      </c>
      <c r="AB4" s="21"/>
      <c r="AC4" s="19" t="s">
        <v>65</v>
      </c>
      <c r="AD4" s="12"/>
    </row>
    <row r="5">
      <c r="A5" s="13" t="s">
        <v>99</v>
      </c>
      <c r="B5" s="14">
        <v>8.0</v>
      </c>
      <c r="C5" s="14" t="s">
        <v>41</v>
      </c>
      <c r="D5" s="13" t="s">
        <v>40</v>
      </c>
      <c r="E5" s="13" t="s">
        <v>100</v>
      </c>
      <c r="F5" s="13" t="s">
        <v>101</v>
      </c>
      <c r="G5" s="13" t="s">
        <v>101</v>
      </c>
      <c r="H5" s="13" t="s">
        <v>102</v>
      </c>
      <c r="I5" s="13" t="s">
        <v>103</v>
      </c>
      <c r="J5" s="13" t="s">
        <v>51</v>
      </c>
      <c r="K5" s="14" t="s">
        <v>52</v>
      </c>
      <c r="L5" s="14" t="s">
        <v>71</v>
      </c>
      <c r="M5" s="14" t="s">
        <v>54</v>
      </c>
      <c r="N5" s="14" t="s">
        <v>55</v>
      </c>
      <c r="O5" s="14" t="s">
        <v>84</v>
      </c>
      <c r="P5" s="22" t="s">
        <v>104</v>
      </c>
      <c r="Q5" s="13" t="s">
        <v>105</v>
      </c>
      <c r="R5" s="13" t="s">
        <v>106</v>
      </c>
      <c r="S5" s="13" t="s">
        <v>107</v>
      </c>
      <c r="T5" s="22" t="s">
        <v>108</v>
      </c>
      <c r="U5" s="14" t="s">
        <v>109</v>
      </c>
      <c r="V5" s="13" t="s">
        <v>110</v>
      </c>
      <c r="W5" s="13" t="s">
        <v>111</v>
      </c>
      <c r="X5" s="13" t="s">
        <v>64</v>
      </c>
      <c r="Y5" s="13" t="s">
        <v>112</v>
      </c>
      <c r="Z5" s="13" t="s">
        <v>113</v>
      </c>
      <c r="AA5" s="13" t="s">
        <v>114</v>
      </c>
      <c r="AB5" s="16"/>
      <c r="AC5" s="14" t="s">
        <v>65</v>
      </c>
      <c r="AD5" s="17"/>
    </row>
    <row r="6">
      <c r="A6" s="18" t="s">
        <v>115</v>
      </c>
      <c r="B6" s="19">
        <v>8.0</v>
      </c>
      <c r="C6" s="19" t="s">
        <v>41</v>
      </c>
      <c r="D6" s="18" t="s">
        <v>40</v>
      </c>
      <c r="E6" s="18" t="s">
        <v>116</v>
      </c>
      <c r="F6" s="18" t="s">
        <v>117</v>
      </c>
      <c r="G6" s="18" t="s">
        <v>117</v>
      </c>
      <c r="H6" s="18" t="s">
        <v>118</v>
      </c>
      <c r="I6" s="18" t="s">
        <v>119</v>
      </c>
      <c r="J6" s="18" t="s">
        <v>51</v>
      </c>
      <c r="K6" s="19" t="s">
        <v>52</v>
      </c>
      <c r="L6" s="19" t="s">
        <v>120</v>
      </c>
      <c r="M6" s="19" t="s">
        <v>54</v>
      </c>
      <c r="N6" s="19" t="s">
        <v>55</v>
      </c>
      <c r="O6" s="19" t="s">
        <v>56</v>
      </c>
      <c r="P6" s="18" t="s">
        <v>121</v>
      </c>
      <c r="Q6" s="18" t="s">
        <v>122</v>
      </c>
      <c r="R6" s="18" t="s">
        <v>123</v>
      </c>
      <c r="S6" s="18" t="s">
        <v>124</v>
      </c>
      <c r="T6" s="18" t="s">
        <v>125</v>
      </c>
      <c r="U6" s="19" t="s">
        <v>62</v>
      </c>
      <c r="V6" s="18" t="s">
        <v>122</v>
      </c>
      <c r="W6" s="18" t="s">
        <v>126</v>
      </c>
      <c r="X6" s="18" t="s">
        <v>64</v>
      </c>
      <c r="Y6" s="21"/>
      <c r="Z6" s="21"/>
      <c r="AA6" s="21"/>
      <c r="AB6" s="21"/>
      <c r="AC6" s="19" t="s">
        <v>65</v>
      </c>
      <c r="AD6" s="12"/>
    </row>
    <row r="7">
      <c r="A7" s="13" t="s">
        <v>127</v>
      </c>
      <c r="B7" s="14">
        <v>8.0</v>
      </c>
      <c r="C7" s="14" t="s">
        <v>41</v>
      </c>
      <c r="D7" s="13" t="s">
        <v>40</v>
      </c>
      <c r="E7" s="13" t="s">
        <v>128</v>
      </c>
      <c r="F7" s="13" t="s">
        <v>129</v>
      </c>
      <c r="G7" s="13" t="s">
        <v>129</v>
      </c>
      <c r="H7" s="13" t="s">
        <v>130</v>
      </c>
      <c r="I7" s="13" t="s">
        <v>131</v>
      </c>
      <c r="J7" s="13" t="s">
        <v>51</v>
      </c>
      <c r="K7" s="14" t="s">
        <v>52</v>
      </c>
      <c r="L7" s="14" t="s">
        <v>132</v>
      </c>
      <c r="M7" s="14" t="s">
        <v>54</v>
      </c>
      <c r="N7" s="14" t="s">
        <v>55</v>
      </c>
      <c r="O7" s="14" t="s">
        <v>56</v>
      </c>
      <c r="P7" s="15" t="s">
        <v>133</v>
      </c>
      <c r="Q7" s="13" t="s">
        <v>134</v>
      </c>
      <c r="R7" s="15" t="s">
        <v>135</v>
      </c>
      <c r="S7" s="13" t="s">
        <v>136</v>
      </c>
      <c r="T7" s="13" t="s">
        <v>137</v>
      </c>
      <c r="U7" s="14" t="s">
        <v>77</v>
      </c>
      <c r="V7" s="15" t="s">
        <v>135</v>
      </c>
      <c r="W7" s="13" t="s">
        <v>138</v>
      </c>
      <c r="X7" s="13" t="s">
        <v>64</v>
      </c>
      <c r="Y7" s="16"/>
      <c r="Z7" s="16"/>
      <c r="AA7" s="16"/>
      <c r="AB7" s="16"/>
      <c r="AC7" s="14" t="s">
        <v>65</v>
      </c>
      <c r="AD7" s="17"/>
    </row>
    <row r="8">
      <c r="A8" s="18" t="s">
        <v>139</v>
      </c>
      <c r="B8" s="19">
        <v>8.0</v>
      </c>
      <c r="C8" s="19" t="s">
        <v>41</v>
      </c>
      <c r="D8" s="18" t="s">
        <v>40</v>
      </c>
      <c r="E8" s="18" t="s">
        <v>140</v>
      </c>
      <c r="F8" s="18" t="s">
        <v>141</v>
      </c>
      <c r="G8" s="18" t="s">
        <v>141</v>
      </c>
      <c r="H8" s="18" t="s">
        <v>142</v>
      </c>
      <c r="I8" s="18" t="s">
        <v>50</v>
      </c>
      <c r="J8" s="18" t="s">
        <v>51</v>
      </c>
      <c r="K8" s="19" t="s">
        <v>52</v>
      </c>
      <c r="L8" s="19" t="s">
        <v>53</v>
      </c>
      <c r="M8" s="19" t="s">
        <v>54</v>
      </c>
      <c r="N8" s="19" t="s">
        <v>55</v>
      </c>
      <c r="O8" s="19" t="s">
        <v>56</v>
      </c>
      <c r="P8" s="18" t="s">
        <v>143</v>
      </c>
      <c r="Q8" s="18" t="s">
        <v>145</v>
      </c>
      <c r="R8" s="18" t="s">
        <v>146</v>
      </c>
      <c r="S8" s="23" t="s">
        <v>148</v>
      </c>
      <c r="T8" s="18" t="s">
        <v>150</v>
      </c>
      <c r="U8" s="19" t="s">
        <v>91</v>
      </c>
      <c r="V8" s="23" t="s">
        <v>148</v>
      </c>
      <c r="W8" s="18" t="s">
        <v>151</v>
      </c>
      <c r="X8" s="18" t="s">
        <v>64</v>
      </c>
      <c r="Y8" s="21"/>
      <c r="Z8" s="21"/>
      <c r="AA8" s="21"/>
      <c r="AB8" s="21"/>
      <c r="AC8" s="19" t="s">
        <v>65</v>
      </c>
      <c r="AD8" s="12"/>
    </row>
    <row r="9">
      <c r="A9" s="13" t="s">
        <v>152</v>
      </c>
      <c r="B9" s="14">
        <v>8.0</v>
      </c>
      <c r="C9" s="14" t="s">
        <v>41</v>
      </c>
      <c r="D9" s="13" t="s">
        <v>40</v>
      </c>
      <c r="E9" s="13" t="s">
        <v>153</v>
      </c>
      <c r="F9" s="13" t="s">
        <v>154</v>
      </c>
      <c r="G9" s="13" t="s">
        <v>154</v>
      </c>
      <c r="H9" s="13" t="s">
        <v>155</v>
      </c>
      <c r="I9" s="13" t="s">
        <v>70</v>
      </c>
      <c r="J9" s="13" t="s">
        <v>51</v>
      </c>
      <c r="K9" s="14" t="s">
        <v>52</v>
      </c>
      <c r="L9" s="14" t="s">
        <v>71</v>
      </c>
      <c r="M9" s="14" t="s">
        <v>54</v>
      </c>
      <c r="N9" s="14" t="s">
        <v>55</v>
      </c>
      <c r="O9" s="14" t="s">
        <v>56</v>
      </c>
      <c r="P9" s="13" t="s">
        <v>156</v>
      </c>
      <c r="Q9" s="13" t="s">
        <v>157</v>
      </c>
      <c r="R9" s="13" t="s">
        <v>158</v>
      </c>
      <c r="S9" s="13" t="s">
        <v>159</v>
      </c>
      <c r="T9" s="13" t="s">
        <v>160</v>
      </c>
      <c r="U9" s="14" t="s">
        <v>109</v>
      </c>
      <c r="V9" s="13" t="s">
        <v>160</v>
      </c>
      <c r="W9" s="13" t="s">
        <v>161</v>
      </c>
      <c r="X9" s="13" t="s">
        <v>64</v>
      </c>
      <c r="Y9" s="16"/>
      <c r="Z9" s="16"/>
      <c r="AA9" s="16"/>
      <c r="AB9" s="16"/>
      <c r="AC9" s="14" t="s">
        <v>65</v>
      </c>
      <c r="AD9" s="17"/>
    </row>
    <row r="10">
      <c r="A10" s="18" t="s">
        <v>162</v>
      </c>
      <c r="B10" s="19">
        <v>8.0</v>
      </c>
      <c r="C10" s="19" t="s">
        <v>41</v>
      </c>
      <c r="D10" s="18" t="s">
        <v>40</v>
      </c>
      <c r="E10" s="18" t="s">
        <v>163</v>
      </c>
      <c r="F10" s="18" t="s">
        <v>164</v>
      </c>
      <c r="G10" s="18" t="s">
        <v>164</v>
      </c>
      <c r="H10" s="18" t="s">
        <v>165</v>
      </c>
      <c r="I10" s="18" t="s">
        <v>83</v>
      </c>
      <c r="J10" s="18" t="s">
        <v>51</v>
      </c>
      <c r="K10" s="19" t="s">
        <v>52</v>
      </c>
      <c r="L10" s="19" t="s">
        <v>71</v>
      </c>
      <c r="M10" s="19" t="s">
        <v>54</v>
      </c>
      <c r="N10" s="19" t="s">
        <v>55</v>
      </c>
      <c r="O10" s="19" t="s">
        <v>84</v>
      </c>
      <c r="P10" s="18" t="s">
        <v>166</v>
      </c>
      <c r="Q10" s="18" t="s">
        <v>167</v>
      </c>
      <c r="R10" s="18" t="s">
        <v>168</v>
      </c>
      <c r="S10" s="18" t="s">
        <v>169</v>
      </c>
      <c r="T10" s="18" t="s">
        <v>170</v>
      </c>
      <c r="U10" s="19" t="s">
        <v>62</v>
      </c>
      <c r="V10" s="18" t="s">
        <v>167</v>
      </c>
      <c r="W10" s="18" t="s">
        <v>171</v>
      </c>
      <c r="X10" s="18" t="s">
        <v>64</v>
      </c>
      <c r="Y10" s="18" t="s">
        <v>172</v>
      </c>
      <c r="Z10" s="18" t="s">
        <v>173</v>
      </c>
      <c r="AA10" s="18" t="s">
        <v>174</v>
      </c>
      <c r="AB10" s="21"/>
      <c r="AC10" s="19" t="s">
        <v>65</v>
      </c>
      <c r="AD10" s="12"/>
    </row>
    <row r="11">
      <c r="A11" s="13" t="s">
        <v>175</v>
      </c>
      <c r="B11" s="14">
        <v>8.0</v>
      </c>
      <c r="C11" s="14" t="s">
        <v>41</v>
      </c>
      <c r="D11" s="13" t="s">
        <v>40</v>
      </c>
      <c r="E11" s="13" t="s">
        <v>176</v>
      </c>
      <c r="F11" s="13" t="s">
        <v>177</v>
      </c>
      <c r="G11" s="13" t="s">
        <v>177</v>
      </c>
      <c r="H11" s="13" t="s">
        <v>178</v>
      </c>
      <c r="I11" s="13" t="s">
        <v>103</v>
      </c>
      <c r="J11" s="13" t="s">
        <v>51</v>
      </c>
      <c r="K11" s="14" t="s">
        <v>52</v>
      </c>
      <c r="L11" s="14" t="s">
        <v>71</v>
      </c>
      <c r="M11" s="14" t="s">
        <v>54</v>
      </c>
      <c r="N11" s="14" t="s">
        <v>55</v>
      </c>
      <c r="O11" s="14" t="s">
        <v>84</v>
      </c>
      <c r="P11" s="13" t="s">
        <v>179</v>
      </c>
      <c r="Q11" s="13" t="s">
        <v>180</v>
      </c>
      <c r="R11" s="22" t="s">
        <v>181</v>
      </c>
      <c r="S11" s="13" t="s">
        <v>182</v>
      </c>
      <c r="T11" s="13" t="s">
        <v>183</v>
      </c>
      <c r="U11" s="14" t="s">
        <v>77</v>
      </c>
      <c r="V11" s="13" t="s">
        <v>184</v>
      </c>
      <c r="W11" s="13" t="s">
        <v>185</v>
      </c>
      <c r="X11" s="13" t="s">
        <v>64</v>
      </c>
      <c r="Y11" s="13" t="s">
        <v>186</v>
      </c>
      <c r="Z11" s="13" t="s">
        <v>187</v>
      </c>
      <c r="AA11" s="13" t="s">
        <v>188</v>
      </c>
      <c r="AB11" s="16"/>
      <c r="AC11" s="14" t="s">
        <v>65</v>
      </c>
      <c r="AD11" s="17"/>
    </row>
    <row r="12">
      <c r="A12" s="18" t="s">
        <v>189</v>
      </c>
      <c r="B12" s="19">
        <v>8.0</v>
      </c>
      <c r="C12" s="19" t="s">
        <v>41</v>
      </c>
      <c r="D12" s="18" t="s">
        <v>40</v>
      </c>
      <c r="E12" s="18" t="s">
        <v>67</v>
      </c>
      <c r="F12" s="18" t="s">
        <v>68</v>
      </c>
      <c r="G12" s="18" t="s">
        <v>68</v>
      </c>
      <c r="H12" s="18" t="s">
        <v>190</v>
      </c>
      <c r="I12" s="18" t="s">
        <v>119</v>
      </c>
      <c r="J12" s="18" t="s">
        <v>51</v>
      </c>
      <c r="K12" s="19" t="s">
        <v>52</v>
      </c>
      <c r="L12" s="19" t="s">
        <v>120</v>
      </c>
      <c r="M12" s="19" t="s">
        <v>54</v>
      </c>
      <c r="N12" s="19" t="s">
        <v>55</v>
      </c>
      <c r="O12" s="19" t="s">
        <v>56</v>
      </c>
      <c r="P12" s="18" t="s">
        <v>191</v>
      </c>
      <c r="Q12" s="18" t="s">
        <v>192</v>
      </c>
      <c r="R12" s="18" t="s">
        <v>193</v>
      </c>
      <c r="S12" s="18" t="s">
        <v>194</v>
      </c>
      <c r="T12" s="18" t="s">
        <v>195</v>
      </c>
      <c r="U12" s="19" t="s">
        <v>91</v>
      </c>
      <c r="V12" s="18" t="s">
        <v>194</v>
      </c>
      <c r="W12" s="18" t="s">
        <v>197</v>
      </c>
      <c r="X12" s="18" t="s">
        <v>64</v>
      </c>
      <c r="Y12" s="21"/>
      <c r="Z12" s="21"/>
      <c r="AA12" s="21"/>
      <c r="AB12" s="21"/>
      <c r="AC12" s="19" t="s">
        <v>65</v>
      </c>
      <c r="AD12" s="12"/>
    </row>
    <row r="13">
      <c r="A13" s="24" t="s">
        <v>199</v>
      </c>
      <c r="B13" s="24" t="s">
        <v>200</v>
      </c>
      <c r="C13" s="24" t="s">
        <v>41</v>
      </c>
      <c r="D13" s="24" t="s">
        <v>40</v>
      </c>
      <c r="E13" s="24" t="s">
        <v>94</v>
      </c>
      <c r="F13" s="24" t="s">
        <v>92</v>
      </c>
      <c r="G13" s="24" t="s">
        <v>201</v>
      </c>
      <c r="H13" s="24" t="s">
        <v>202</v>
      </c>
      <c r="I13" s="24" t="s">
        <v>203</v>
      </c>
      <c r="J13" s="24" t="s">
        <v>204</v>
      </c>
      <c r="K13" s="24" t="s">
        <v>205</v>
      </c>
      <c r="L13" s="24" t="s">
        <v>71</v>
      </c>
      <c r="M13" s="24" t="s">
        <v>206</v>
      </c>
      <c r="N13" s="24" t="s">
        <v>207</v>
      </c>
      <c r="O13" s="24" t="s">
        <v>84</v>
      </c>
      <c r="P13" s="24" t="s">
        <v>208</v>
      </c>
      <c r="Q13" s="24" t="s">
        <v>209</v>
      </c>
      <c r="R13" s="24" t="s">
        <v>210</v>
      </c>
      <c r="S13" s="24" t="s">
        <v>211</v>
      </c>
      <c r="T13" s="24" t="s">
        <v>212</v>
      </c>
      <c r="U13" s="24" t="s">
        <v>62</v>
      </c>
      <c r="V13" s="24" t="s">
        <v>209</v>
      </c>
      <c r="W13" s="24" t="s">
        <v>213</v>
      </c>
      <c r="X13" s="24" t="s">
        <v>214</v>
      </c>
      <c r="Y13" s="24" t="s">
        <v>215</v>
      </c>
      <c r="Z13" s="24" t="s">
        <v>216</v>
      </c>
      <c r="AA13" s="24" t="s">
        <v>217</v>
      </c>
      <c r="AB13" s="25"/>
      <c r="AC13" s="24" t="s">
        <v>218</v>
      </c>
      <c r="AD13" s="26" t="s">
        <v>219</v>
      </c>
    </row>
    <row r="14">
      <c r="A14" s="27" t="s">
        <v>220</v>
      </c>
      <c r="B14" s="27" t="s">
        <v>200</v>
      </c>
      <c r="C14" s="27" t="s">
        <v>41</v>
      </c>
      <c r="D14" s="27" t="s">
        <v>40</v>
      </c>
      <c r="E14" s="27" t="s">
        <v>221</v>
      </c>
      <c r="F14" s="27" t="s">
        <v>222</v>
      </c>
      <c r="G14" s="27" t="s">
        <v>223</v>
      </c>
      <c r="H14" s="27" t="s">
        <v>224</v>
      </c>
      <c r="I14" s="27" t="s">
        <v>225</v>
      </c>
      <c r="J14" s="27" t="s">
        <v>204</v>
      </c>
      <c r="K14" s="27" t="s">
        <v>205</v>
      </c>
      <c r="L14" s="27" t="s">
        <v>53</v>
      </c>
      <c r="M14" s="27" t="s">
        <v>227</v>
      </c>
      <c r="N14" s="27" t="s">
        <v>207</v>
      </c>
      <c r="O14" s="27" t="s">
        <v>84</v>
      </c>
      <c r="P14" s="27" t="s">
        <v>231</v>
      </c>
      <c r="Q14" s="27" t="s">
        <v>232</v>
      </c>
      <c r="R14" s="27" t="s">
        <v>233</v>
      </c>
      <c r="S14" s="27" t="s">
        <v>234</v>
      </c>
      <c r="T14" s="27" t="s">
        <v>235</v>
      </c>
      <c r="U14" s="27" t="s">
        <v>62</v>
      </c>
      <c r="V14" s="27" t="s">
        <v>232</v>
      </c>
      <c r="W14" s="27" t="s">
        <v>236</v>
      </c>
      <c r="X14" s="27" t="s">
        <v>237</v>
      </c>
      <c r="Y14" s="27" t="s">
        <v>238</v>
      </c>
      <c r="Z14" s="27" t="s">
        <v>239</v>
      </c>
      <c r="AA14" s="27" t="s">
        <v>240</v>
      </c>
      <c r="AB14" s="28"/>
      <c r="AC14" s="27" t="s">
        <v>218</v>
      </c>
      <c r="AD14" s="29" t="s">
        <v>241</v>
      </c>
    </row>
    <row r="15">
      <c r="A15" s="13" t="s">
        <v>242</v>
      </c>
      <c r="B15" s="14">
        <v>8.0</v>
      </c>
      <c r="C15" s="14" t="s">
        <v>243</v>
      </c>
      <c r="D15" s="13" t="s">
        <v>244</v>
      </c>
      <c r="E15" s="13" t="s">
        <v>245</v>
      </c>
      <c r="F15" s="13" t="s">
        <v>246</v>
      </c>
      <c r="G15" s="13" t="s">
        <v>246</v>
      </c>
      <c r="H15" s="13" t="s">
        <v>247</v>
      </c>
      <c r="I15" s="13" t="s">
        <v>70</v>
      </c>
      <c r="J15" s="13" t="s">
        <v>51</v>
      </c>
      <c r="K15" s="14" t="s">
        <v>52</v>
      </c>
      <c r="L15" s="14" t="s">
        <v>71</v>
      </c>
      <c r="M15" s="14" t="s">
        <v>248</v>
      </c>
      <c r="N15" s="14" t="s">
        <v>55</v>
      </c>
      <c r="O15" s="14" t="s">
        <v>56</v>
      </c>
      <c r="P15" s="13" t="s">
        <v>249</v>
      </c>
      <c r="Q15" s="15" t="s">
        <v>250</v>
      </c>
      <c r="R15" s="15" t="s">
        <v>251</v>
      </c>
      <c r="S15" s="15" t="s">
        <v>252</v>
      </c>
      <c r="T15" s="15" t="s">
        <v>253</v>
      </c>
      <c r="U15" s="14" t="s">
        <v>77</v>
      </c>
      <c r="V15" s="13" t="s">
        <v>251</v>
      </c>
      <c r="W15" s="13" t="s">
        <v>254</v>
      </c>
      <c r="X15" s="13" t="s">
        <v>255</v>
      </c>
      <c r="Y15" s="16"/>
      <c r="Z15" s="16"/>
      <c r="AA15" s="16"/>
      <c r="AB15" s="16"/>
      <c r="AC15" s="14" t="s">
        <v>65</v>
      </c>
      <c r="AD15" s="17"/>
    </row>
    <row r="16">
      <c r="A16" s="18" t="s">
        <v>256</v>
      </c>
      <c r="B16" s="19">
        <v>8.0</v>
      </c>
      <c r="C16" s="19" t="s">
        <v>243</v>
      </c>
      <c r="D16" s="18" t="s">
        <v>244</v>
      </c>
      <c r="E16" s="18" t="s">
        <v>257</v>
      </c>
      <c r="F16" s="18" t="s">
        <v>258</v>
      </c>
      <c r="G16" s="18" t="s">
        <v>258</v>
      </c>
      <c r="H16" s="18" t="s">
        <v>259</v>
      </c>
      <c r="I16" s="18" t="s">
        <v>83</v>
      </c>
      <c r="J16" s="18" t="s">
        <v>51</v>
      </c>
      <c r="K16" s="19" t="s">
        <v>52</v>
      </c>
      <c r="L16" s="19" t="s">
        <v>71</v>
      </c>
      <c r="M16" s="19" t="s">
        <v>248</v>
      </c>
      <c r="N16" s="19" t="s">
        <v>55</v>
      </c>
      <c r="O16" s="19" t="s">
        <v>84</v>
      </c>
      <c r="P16" s="18" t="s">
        <v>260</v>
      </c>
      <c r="Q16" s="18" t="s">
        <v>261</v>
      </c>
      <c r="R16" s="18" t="s">
        <v>263</v>
      </c>
      <c r="S16" s="18" t="s">
        <v>264</v>
      </c>
      <c r="T16" s="18" t="s">
        <v>265</v>
      </c>
      <c r="U16" s="19" t="s">
        <v>91</v>
      </c>
      <c r="V16" s="18" t="s">
        <v>264</v>
      </c>
      <c r="W16" s="18" t="s">
        <v>267</v>
      </c>
      <c r="X16" s="18" t="s">
        <v>255</v>
      </c>
      <c r="Y16" s="18" t="s">
        <v>268</v>
      </c>
      <c r="Z16" s="18" t="s">
        <v>269</v>
      </c>
      <c r="AA16" s="18" t="s">
        <v>270</v>
      </c>
      <c r="AB16" s="21"/>
      <c r="AC16" s="19" t="s">
        <v>65</v>
      </c>
      <c r="AD16" s="12"/>
    </row>
    <row r="17">
      <c r="A17" s="13" t="s">
        <v>271</v>
      </c>
      <c r="B17" s="14">
        <v>8.0</v>
      </c>
      <c r="C17" s="14" t="s">
        <v>243</v>
      </c>
      <c r="D17" s="13" t="s">
        <v>244</v>
      </c>
      <c r="E17" s="13" t="s">
        <v>272</v>
      </c>
      <c r="F17" s="13" t="s">
        <v>273</v>
      </c>
      <c r="G17" s="13" t="s">
        <v>273</v>
      </c>
      <c r="H17" s="13" t="s">
        <v>274</v>
      </c>
      <c r="I17" s="13" t="s">
        <v>103</v>
      </c>
      <c r="J17" s="13" t="s">
        <v>51</v>
      </c>
      <c r="K17" s="14" t="s">
        <v>52</v>
      </c>
      <c r="L17" s="14" t="s">
        <v>71</v>
      </c>
      <c r="M17" s="14" t="s">
        <v>248</v>
      </c>
      <c r="N17" s="14" t="s">
        <v>55</v>
      </c>
      <c r="O17" s="14" t="s">
        <v>84</v>
      </c>
      <c r="P17" s="22" t="s">
        <v>275</v>
      </c>
      <c r="Q17" s="13" t="s">
        <v>86</v>
      </c>
      <c r="R17" s="13" t="s">
        <v>87</v>
      </c>
      <c r="S17" s="13" t="s">
        <v>90</v>
      </c>
      <c r="T17" s="13" t="s">
        <v>89</v>
      </c>
      <c r="U17" s="14" t="s">
        <v>109</v>
      </c>
      <c r="V17" s="13" t="s">
        <v>89</v>
      </c>
      <c r="W17" s="13" t="s">
        <v>276</v>
      </c>
      <c r="X17" s="13" t="s">
        <v>255</v>
      </c>
      <c r="Y17" s="13" t="s">
        <v>277</v>
      </c>
      <c r="Z17" s="13" t="s">
        <v>278</v>
      </c>
      <c r="AA17" s="13" t="s">
        <v>279</v>
      </c>
      <c r="AB17" s="16"/>
      <c r="AC17" s="14" t="s">
        <v>65</v>
      </c>
      <c r="AD17" s="17"/>
    </row>
    <row r="18">
      <c r="A18" s="18" t="s">
        <v>280</v>
      </c>
      <c r="B18" s="19">
        <v>8.0</v>
      </c>
      <c r="C18" s="19" t="s">
        <v>243</v>
      </c>
      <c r="D18" s="18" t="s">
        <v>244</v>
      </c>
      <c r="E18" s="18" t="s">
        <v>281</v>
      </c>
      <c r="F18" s="18" t="s">
        <v>282</v>
      </c>
      <c r="G18" s="18" t="s">
        <v>282</v>
      </c>
      <c r="H18" s="18" t="s">
        <v>283</v>
      </c>
      <c r="I18" s="18" t="s">
        <v>119</v>
      </c>
      <c r="J18" s="18" t="s">
        <v>51</v>
      </c>
      <c r="K18" s="19" t="s">
        <v>52</v>
      </c>
      <c r="L18" s="19" t="s">
        <v>120</v>
      </c>
      <c r="M18" s="19" t="s">
        <v>248</v>
      </c>
      <c r="N18" s="19" t="s">
        <v>55</v>
      </c>
      <c r="O18" s="19" t="s">
        <v>56</v>
      </c>
      <c r="P18" s="23" t="s">
        <v>284</v>
      </c>
      <c r="Q18" s="18" t="s">
        <v>285</v>
      </c>
      <c r="R18" s="18" t="s">
        <v>286</v>
      </c>
      <c r="S18" s="18" t="s">
        <v>287</v>
      </c>
      <c r="T18" s="23" t="s">
        <v>288</v>
      </c>
      <c r="U18" s="19" t="s">
        <v>62</v>
      </c>
      <c r="V18" s="18" t="s">
        <v>285</v>
      </c>
      <c r="W18" s="18" t="s">
        <v>289</v>
      </c>
      <c r="X18" s="18" t="s">
        <v>255</v>
      </c>
      <c r="Y18" s="21"/>
      <c r="Z18" s="21"/>
      <c r="AA18" s="21"/>
      <c r="AB18" s="21"/>
      <c r="AC18" s="19" t="s">
        <v>65</v>
      </c>
      <c r="AD18" s="12"/>
    </row>
    <row r="19">
      <c r="A19" s="13" t="s">
        <v>290</v>
      </c>
      <c r="B19" s="14">
        <v>8.0</v>
      </c>
      <c r="C19" s="14" t="s">
        <v>243</v>
      </c>
      <c r="D19" s="13" t="s">
        <v>244</v>
      </c>
      <c r="E19" s="13" t="s">
        <v>292</v>
      </c>
      <c r="F19" s="13" t="s">
        <v>293</v>
      </c>
      <c r="G19" s="13" t="s">
        <v>293</v>
      </c>
      <c r="H19" s="13" t="s">
        <v>296</v>
      </c>
      <c r="I19" s="13" t="s">
        <v>131</v>
      </c>
      <c r="J19" s="13" t="s">
        <v>51</v>
      </c>
      <c r="K19" s="14" t="s">
        <v>52</v>
      </c>
      <c r="L19" s="14" t="s">
        <v>132</v>
      </c>
      <c r="M19" s="14" t="s">
        <v>248</v>
      </c>
      <c r="N19" s="14" t="s">
        <v>55</v>
      </c>
      <c r="O19" s="14" t="s">
        <v>56</v>
      </c>
      <c r="P19" s="13" t="s">
        <v>297</v>
      </c>
      <c r="Q19" s="13" t="s">
        <v>298</v>
      </c>
      <c r="R19" s="13" t="s">
        <v>299</v>
      </c>
      <c r="S19" s="13" t="s">
        <v>300</v>
      </c>
      <c r="T19" s="13" t="s">
        <v>301</v>
      </c>
      <c r="U19" s="14" t="s">
        <v>77</v>
      </c>
      <c r="V19" s="13" t="s">
        <v>299</v>
      </c>
      <c r="W19" s="13" t="s">
        <v>302</v>
      </c>
      <c r="X19" s="13" t="s">
        <v>255</v>
      </c>
      <c r="Y19" s="16"/>
      <c r="Z19" s="16"/>
      <c r="AA19" s="16"/>
      <c r="AB19" s="16"/>
      <c r="AC19" s="14" t="s">
        <v>65</v>
      </c>
      <c r="AD19" s="17"/>
    </row>
    <row r="20">
      <c r="A20" s="18" t="s">
        <v>303</v>
      </c>
      <c r="B20" s="19">
        <v>8.0</v>
      </c>
      <c r="C20" s="19" t="s">
        <v>243</v>
      </c>
      <c r="D20" s="18" t="s">
        <v>244</v>
      </c>
      <c r="E20" s="18" t="s">
        <v>304</v>
      </c>
      <c r="F20" s="18" t="s">
        <v>305</v>
      </c>
      <c r="G20" s="18" t="s">
        <v>305</v>
      </c>
      <c r="H20" s="18" t="s">
        <v>306</v>
      </c>
      <c r="I20" s="18" t="s">
        <v>50</v>
      </c>
      <c r="J20" s="18" t="s">
        <v>51</v>
      </c>
      <c r="K20" s="19" t="s">
        <v>52</v>
      </c>
      <c r="L20" s="19" t="s">
        <v>53</v>
      </c>
      <c r="M20" s="19" t="s">
        <v>248</v>
      </c>
      <c r="N20" s="19" t="s">
        <v>55</v>
      </c>
      <c r="O20" s="19" t="s">
        <v>56</v>
      </c>
      <c r="P20" s="18" t="s">
        <v>307</v>
      </c>
      <c r="Q20" s="18" t="s">
        <v>308</v>
      </c>
      <c r="R20" s="18" t="s">
        <v>309</v>
      </c>
      <c r="S20" s="18" t="s">
        <v>310</v>
      </c>
      <c r="T20" s="18" t="s">
        <v>311</v>
      </c>
      <c r="U20" s="19" t="s">
        <v>91</v>
      </c>
      <c r="V20" s="18" t="s">
        <v>310</v>
      </c>
      <c r="W20" s="18" t="s">
        <v>312</v>
      </c>
      <c r="X20" s="18" t="s">
        <v>255</v>
      </c>
      <c r="Y20" s="21"/>
      <c r="Z20" s="21"/>
      <c r="AA20" s="21"/>
      <c r="AB20" s="21"/>
      <c r="AC20" s="19" t="s">
        <v>65</v>
      </c>
      <c r="AD20" s="12"/>
    </row>
    <row r="21">
      <c r="A21" s="24" t="s">
        <v>313</v>
      </c>
      <c r="B21" s="24" t="s">
        <v>200</v>
      </c>
      <c r="C21" s="24" t="s">
        <v>243</v>
      </c>
      <c r="D21" s="24" t="s">
        <v>244</v>
      </c>
      <c r="E21" s="24" t="s">
        <v>314</v>
      </c>
      <c r="F21" s="24" t="s">
        <v>315</v>
      </c>
      <c r="G21" s="24" t="s">
        <v>316</v>
      </c>
      <c r="H21" s="24" t="s">
        <v>317</v>
      </c>
      <c r="I21" s="24" t="s">
        <v>203</v>
      </c>
      <c r="J21" s="24" t="s">
        <v>204</v>
      </c>
      <c r="K21" s="24" t="s">
        <v>205</v>
      </c>
      <c r="L21" s="24" t="s">
        <v>71</v>
      </c>
      <c r="M21" s="24" t="s">
        <v>318</v>
      </c>
      <c r="N21" s="24" t="s">
        <v>207</v>
      </c>
      <c r="O21" s="24" t="s">
        <v>84</v>
      </c>
      <c r="P21" s="24" t="s">
        <v>319</v>
      </c>
      <c r="Q21" s="24" t="s">
        <v>320</v>
      </c>
      <c r="R21" s="24" t="s">
        <v>321</v>
      </c>
      <c r="S21" s="24" t="s">
        <v>322</v>
      </c>
      <c r="T21" s="24" t="s">
        <v>323</v>
      </c>
      <c r="U21" s="24" t="s">
        <v>62</v>
      </c>
      <c r="V21" s="24" t="s">
        <v>320</v>
      </c>
      <c r="W21" s="24" t="s">
        <v>324</v>
      </c>
      <c r="X21" s="24" t="s">
        <v>325</v>
      </c>
      <c r="Y21" s="24" t="s">
        <v>326</v>
      </c>
      <c r="Z21" s="24" t="s">
        <v>327</v>
      </c>
      <c r="AA21" s="24" t="s">
        <v>328</v>
      </c>
      <c r="AB21" s="25"/>
      <c r="AC21" s="24" t="s">
        <v>218</v>
      </c>
      <c r="AD21" s="26" t="s">
        <v>329</v>
      </c>
    </row>
    <row r="22">
      <c r="A22" s="18" t="s">
        <v>331</v>
      </c>
      <c r="B22" s="19">
        <v>8.0</v>
      </c>
      <c r="C22" s="19" t="s">
        <v>243</v>
      </c>
      <c r="D22" s="18" t="s">
        <v>244</v>
      </c>
      <c r="E22" s="18" t="s">
        <v>147</v>
      </c>
      <c r="F22" s="18" t="s">
        <v>335</v>
      </c>
      <c r="G22" s="18" t="s">
        <v>335</v>
      </c>
      <c r="H22" s="18" t="s">
        <v>336</v>
      </c>
      <c r="I22" s="18" t="s">
        <v>83</v>
      </c>
      <c r="J22" s="18" t="s">
        <v>51</v>
      </c>
      <c r="K22" s="19" t="s">
        <v>52</v>
      </c>
      <c r="L22" s="19" t="s">
        <v>71</v>
      </c>
      <c r="M22" s="19" t="s">
        <v>248</v>
      </c>
      <c r="N22" s="19" t="s">
        <v>55</v>
      </c>
      <c r="O22" s="19" t="s">
        <v>84</v>
      </c>
      <c r="P22" s="30" t="s">
        <v>337</v>
      </c>
      <c r="Q22" s="18" t="s">
        <v>338</v>
      </c>
      <c r="R22" s="18" t="s">
        <v>339</v>
      </c>
      <c r="S22" s="18" t="s">
        <v>340</v>
      </c>
      <c r="T22" s="18" t="s">
        <v>341</v>
      </c>
      <c r="U22" s="19" t="s">
        <v>62</v>
      </c>
      <c r="V22" s="18" t="s">
        <v>338</v>
      </c>
      <c r="W22" s="18" t="s">
        <v>342</v>
      </c>
      <c r="X22" s="18" t="s">
        <v>255</v>
      </c>
      <c r="Y22" s="18" t="s">
        <v>343</v>
      </c>
      <c r="Z22" s="18" t="s">
        <v>344</v>
      </c>
      <c r="AA22" s="18" t="s">
        <v>345</v>
      </c>
      <c r="AB22" s="21"/>
      <c r="AC22" s="19" t="s">
        <v>65</v>
      </c>
      <c r="AD22" s="12"/>
    </row>
    <row r="23">
      <c r="A23" s="13" t="s">
        <v>346</v>
      </c>
      <c r="B23" s="14">
        <v>8.0</v>
      </c>
      <c r="C23" s="14" t="s">
        <v>243</v>
      </c>
      <c r="D23" s="13" t="s">
        <v>244</v>
      </c>
      <c r="E23" s="13" t="s">
        <v>347</v>
      </c>
      <c r="F23" s="13" t="s">
        <v>348</v>
      </c>
      <c r="G23" s="13" t="s">
        <v>348</v>
      </c>
      <c r="H23" s="13" t="s">
        <v>349</v>
      </c>
      <c r="I23" s="13" t="s">
        <v>103</v>
      </c>
      <c r="J23" s="13" t="s">
        <v>51</v>
      </c>
      <c r="K23" s="14" t="s">
        <v>52</v>
      </c>
      <c r="L23" s="14" t="s">
        <v>71</v>
      </c>
      <c r="M23" s="14" t="s">
        <v>248</v>
      </c>
      <c r="N23" s="14" t="s">
        <v>55</v>
      </c>
      <c r="O23" s="14" t="s">
        <v>84</v>
      </c>
      <c r="P23" s="13" t="s">
        <v>350</v>
      </c>
      <c r="Q23" s="22" t="s">
        <v>351</v>
      </c>
      <c r="R23" s="22" t="s">
        <v>352</v>
      </c>
      <c r="S23" s="13" t="s">
        <v>353</v>
      </c>
      <c r="T23" s="22" t="s">
        <v>354</v>
      </c>
      <c r="U23" s="14" t="s">
        <v>77</v>
      </c>
      <c r="V23" s="13" t="s">
        <v>355</v>
      </c>
      <c r="W23" s="13" t="s">
        <v>357</v>
      </c>
      <c r="X23" s="13" t="s">
        <v>255</v>
      </c>
      <c r="Y23" s="13" t="s">
        <v>358</v>
      </c>
      <c r="Z23" s="13" t="s">
        <v>359</v>
      </c>
      <c r="AA23" s="13" t="s">
        <v>361</v>
      </c>
      <c r="AB23" s="16"/>
      <c r="AC23" s="14" t="s">
        <v>65</v>
      </c>
      <c r="AD23" s="17"/>
    </row>
    <row r="24">
      <c r="A24" s="18" t="s">
        <v>363</v>
      </c>
      <c r="B24" s="19">
        <v>8.0</v>
      </c>
      <c r="C24" s="19" t="s">
        <v>243</v>
      </c>
      <c r="D24" s="18" t="s">
        <v>244</v>
      </c>
      <c r="E24" s="18" t="s">
        <v>364</v>
      </c>
      <c r="F24" s="18" t="s">
        <v>365</v>
      </c>
      <c r="G24" s="18" t="s">
        <v>365</v>
      </c>
      <c r="H24" s="18" t="s">
        <v>366</v>
      </c>
      <c r="I24" s="18" t="s">
        <v>119</v>
      </c>
      <c r="J24" s="18" t="s">
        <v>51</v>
      </c>
      <c r="K24" s="19" t="s">
        <v>52</v>
      </c>
      <c r="L24" s="19" t="s">
        <v>120</v>
      </c>
      <c r="M24" s="19" t="s">
        <v>248</v>
      </c>
      <c r="N24" s="19" t="s">
        <v>55</v>
      </c>
      <c r="O24" s="19" t="s">
        <v>56</v>
      </c>
      <c r="P24" s="18" t="s">
        <v>367</v>
      </c>
      <c r="Q24" s="23" t="s">
        <v>368</v>
      </c>
      <c r="R24" s="23" t="s">
        <v>369</v>
      </c>
      <c r="S24" s="23" t="s">
        <v>370</v>
      </c>
      <c r="T24" s="23" t="s">
        <v>371</v>
      </c>
      <c r="U24" s="19" t="s">
        <v>91</v>
      </c>
      <c r="V24" s="23" t="s">
        <v>370</v>
      </c>
      <c r="W24" s="18" t="s">
        <v>372</v>
      </c>
      <c r="X24" s="18" t="s">
        <v>255</v>
      </c>
      <c r="Y24" s="21"/>
      <c r="Z24" s="21"/>
      <c r="AA24" s="21"/>
      <c r="AB24" s="21"/>
      <c r="AC24" s="19" t="s">
        <v>65</v>
      </c>
      <c r="AD24" s="12"/>
    </row>
    <row r="25">
      <c r="A25" s="13" t="s">
        <v>373</v>
      </c>
      <c r="B25" s="14">
        <v>8.0</v>
      </c>
      <c r="C25" s="14" t="s">
        <v>243</v>
      </c>
      <c r="D25" s="13" t="s">
        <v>244</v>
      </c>
      <c r="E25" s="13" t="s">
        <v>374</v>
      </c>
      <c r="F25" s="13" t="s">
        <v>375</v>
      </c>
      <c r="G25" s="13" t="s">
        <v>375</v>
      </c>
      <c r="H25" s="13" t="s">
        <v>376</v>
      </c>
      <c r="I25" s="13" t="s">
        <v>131</v>
      </c>
      <c r="J25" s="13" t="s">
        <v>51</v>
      </c>
      <c r="K25" s="14" t="s">
        <v>52</v>
      </c>
      <c r="L25" s="14" t="s">
        <v>132</v>
      </c>
      <c r="M25" s="14" t="s">
        <v>248</v>
      </c>
      <c r="N25" s="14" t="s">
        <v>55</v>
      </c>
      <c r="O25" s="14" t="s">
        <v>56</v>
      </c>
      <c r="P25" s="13" t="s">
        <v>377</v>
      </c>
      <c r="Q25" s="13" t="s">
        <v>257</v>
      </c>
      <c r="R25" s="13" t="s">
        <v>378</v>
      </c>
      <c r="S25" s="13" t="s">
        <v>379</v>
      </c>
      <c r="T25" s="13" t="s">
        <v>380</v>
      </c>
      <c r="U25" s="14" t="s">
        <v>109</v>
      </c>
      <c r="V25" s="13" t="s">
        <v>380</v>
      </c>
      <c r="W25" s="13" t="s">
        <v>381</v>
      </c>
      <c r="X25" s="13" t="s">
        <v>255</v>
      </c>
      <c r="Y25" s="16"/>
      <c r="Z25" s="16"/>
      <c r="AA25" s="16"/>
      <c r="AB25" s="16"/>
      <c r="AC25" s="14" t="s">
        <v>65</v>
      </c>
      <c r="AD25" s="17"/>
    </row>
    <row r="26">
      <c r="A26" s="18" t="s">
        <v>382</v>
      </c>
      <c r="B26" s="19">
        <v>8.0</v>
      </c>
      <c r="C26" s="19" t="s">
        <v>243</v>
      </c>
      <c r="D26" s="18" t="s">
        <v>244</v>
      </c>
      <c r="E26" s="18" t="s">
        <v>383</v>
      </c>
      <c r="F26" s="18" t="s">
        <v>384</v>
      </c>
      <c r="G26" s="18" t="s">
        <v>384</v>
      </c>
      <c r="H26" s="18" t="s">
        <v>386</v>
      </c>
      <c r="I26" s="18" t="s">
        <v>50</v>
      </c>
      <c r="J26" s="18" t="s">
        <v>51</v>
      </c>
      <c r="K26" s="19" t="s">
        <v>52</v>
      </c>
      <c r="L26" s="19" t="s">
        <v>53</v>
      </c>
      <c r="M26" s="19" t="s">
        <v>248</v>
      </c>
      <c r="N26" s="19" t="s">
        <v>55</v>
      </c>
      <c r="O26" s="19" t="s">
        <v>56</v>
      </c>
      <c r="P26" s="18" t="s">
        <v>389</v>
      </c>
      <c r="Q26" s="18" t="s">
        <v>390</v>
      </c>
      <c r="R26" s="23" t="s">
        <v>391</v>
      </c>
      <c r="S26" s="23" t="s">
        <v>392</v>
      </c>
      <c r="T26" s="23" t="s">
        <v>393</v>
      </c>
      <c r="U26" s="19" t="s">
        <v>62</v>
      </c>
      <c r="V26" s="18" t="s">
        <v>390</v>
      </c>
      <c r="W26" s="18" t="s">
        <v>394</v>
      </c>
      <c r="X26" s="18" t="s">
        <v>255</v>
      </c>
      <c r="Y26" s="21"/>
      <c r="Z26" s="21"/>
      <c r="AA26" s="21"/>
      <c r="AB26" s="21"/>
      <c r="AC26" s="19" t="s">
        <v>65</v>
      </c>
      <c r="AD26" s="12"/>
    </row>
    <row r="27">
      <c r="A27" s="13" t="s">
        <v>395</v>
      </c>
      <c r="B27" s="14">
        <v>8.0</v>
      </c>
      <c r="C27" s="14" t="s">
        <v>396</v>
      </c>
      <c r="D27" s="13" t="s">
        <v>397</v>
      </c>
      <c r="E27" s="13" t="s">
        <v>398</v>
      </c>
      <c r="F27" s="13" t="s">
        <v>399</v>
      </c>
      <c r="G27" s="13" t="s">
        <v>399</v>
      </c>
      <c r="H27" s="13" t="s">
        <v>400</v>
      </c>
      <c r="I27" s="13" t="s">
        <v>70</v>
      </c>
      <c r="J27" s="13" t="s">
        <v>51</v>
      </c>
      <c r="K27" s="14" t="s">
        <v>52</v>
      </c>
      <c r="L27" s="14" t="s">
        <v>71</v>
      </c>
      <c r="M27" s="14" t="s">
        <v>401</v>
      </c>
      <c r="N27" s="14" t="s">
        <v>55</v>
      </c>
      <c r="O27" s="14" t="s">
        <v>56</v>
      </c>
      <c r="P27" s="13" t="s">
        <v>402</v>
      </c>
      <c r="Q27" s="15" t="s">
        <v>403</v>
      </c>
      <c r="R27" s="15" t="s">
        <v>404</v>
      </c>
      <c r="S27" s="15" t="s">
        <v>405</v>
      </c>
      <c r="T27" s="15" t="s">
        <v>406</v>
      </c>
      <c r="U27" s="14" t="s">
        <v>77</v>
      </c>
      <c r="V27" s="13" t="s">
        <v>407</v>
      </c>
      <c r="W27" s="13" t="s">
        <v>408</v>
      </c>
      <c r="X27" s="13" t="s">
        <v>409</v>
      </c>
      <c r="Y27" s="16"/>
      <c r="Z27" s="16"/>
      <c r="AA27" s="16"/>
      <c r="AB27" s="16"/>
      <c r="AC27" s="14" t="s">
        <v>65</v>
      </c>
      <c r="AD27" s="17"/>
    </row>
    <row r="28">
      <c r="A28" s="18" t="s">
        <v>410</v>
      </c>
      <c r="B28" s="19">
        <v>8.0</v>
      </c>
      <c r="C28" s="19" t="s">
        <v>396</v>
      </c>
      <c r="D28" s="18" t="s">
        <v>397</v>
      </c>
      <c r="E28" s="18" t="s">
        <v>411</v>
      </c>
      <c r="F28" s="18" t="s">
        <v>412</v>
      </c>
      <c r="G28" s="18" t="s">
        <v>412</v>
      </c>
      <c r="H28" s="18" t="s">
        <v>413</v>
      </c>
      <c r="I28" s="18" t="s">
        <v>83</v>
      </c>
      <c r="J28" s="18" t="s">
        <v>51</v>
      </c>
      <c r="K28" s="19" t="s">
        <v>52</v>
      </c>
      <c r="L28" s="19" t="s">
        <v>71</v>
      </c>
      <c r="M28" s="19" t="s">
        <v>401</v>
      </c>
      <c r="N28" s="19" t="s">
        <v>55</v>
      </c>
      <c r="O28" s="19" t="s">
        <v>84</v>
      </c>
      <c r="P28" s="20" t="s">
        <v>414</v>
      </c>
      <c r="Q28" s="18" t="s">
        <v>415</v>
      </c>
      <c r="R28" s="18" t="s">
        <v>416</v>
      </c>
      <c r="S28" s="20" t="s">
        <v>417</v>
      </c>
      <c r="T28" s="18" t="s">
        <v>418</v>
      </c>
      <c r="U28" s="19" t="s">
        <v>91</v>
      </c>
      <c r="V28" s="18" t="s">
        <v>419</v>
      </c>
      <c r="W28" s="18" t="s">
        <v>420</v>
      </c>
      <c r="X28" s="18" t="s">
        <v>409</v>
      </c>
      <c r="Y28" s="18" t="s">
        <v>421</v>
      </c>
      <c r="Z28" s="18" t="s">
        <v>422</v>
      </c>
      <c r="AA28" s="18" t="s">
        <v>423</v>
      </c>
      <c r="AB28" s="21"/>
      <c r="AC28" s="19" t="s">
        <v>65</v>
      </c>
      <c r="AD28" s="12"/>
    </row>
    <row r="29">
      <c r="A29" s="31" t="s">
        <v>424</v>
      </c>
      <c r="B29" s="32">
        <v>8.0</v>
      </c>
      <c r="C29" s="31" t="s">
        <v>396</v>
      </c>
      <c r="D29" s="31" t="s">
        <v>397</v>
      </c>
      <c r="E29" s="31" t="s">
        <v>426</v>
      </c>
      <c r="F29" s="31" t="s">
        <v>428</v>
      </c>
      <c r="G29" s="31" t="s">
        <v>429</v>
      </c>
      <c r="H29" s="31" t="s">
        <v>430</v>
      </c>
      <c r="I29" s="32" t="s">
        <v>431</v>
      </c>
      <c r="J29" s="32" t="s">
        <v>432</v>
      </c>
      <c r="K29" s="32" t="s">
        <v>433</v>
      </c>
      <c r="L29" s="33"/>
      <c r="M29" s="31" t="s">
        <v>434</v>
      </c>
      <c r="N29" s="32" t="s">
        <v>207</v>
      </c>
      <c r="O29" s="32" t="s">
        <v>84</v>
      </c>
      <c r="P29" s="31" t="s">
        <v>435</v>
      </c>
      <c r="Q29" s="34" t="s">
        <v>436</v>
      </c>
      <c r="R29" s="31" t="s">
        <v>437</v>
      </c>
      <c r="S29" s="34" t="s">
        <v>438</v>
      </c>
      <c r="T29" s="31" t="s">
        <v>439</v>
      </c>
      <c r="U29" s="32" t="s">
        <v>77</v>
      </c>
      <c r="V29" s="31" t="s">
        <v>437</v>
      </c>
      <c r="W29" s="31" t="s">
        <v>440</v>
      </c>
      <c r="X29" s="31" t="s">
        <v>441</v>
      </c>
      <c r="Y29" s="31" t="s">
        <v>442</v>
      </c>
      <c r="Z29" s="31" t="s">
        <v>443</v>
      </c>
      <c r="AA29" s="33"/>
      <c r="AB29" s="33"/>
      <c r="AC29" s="32" t="s">
        <v>65</v>
      </c>
      <c r="AD29" s="35" t="s">
        <v>444</v>
      </c>
    </row>
    <row r="30">
      <c r="A30" s="18" t="s">
        <v>445</v>
      </c>
      <c r="B30" s="19">
        <v>8.0</v>
      </c>
      <c r="C30" s="19" t="s">
        <v>396</v>
      </c>
      <c r="D30" s="18" t="s">
        <v>397</v>
      </c>
      <c r="E30" s="18" t="s">
        <v>446</v>
      </c>
      <c r="F30" s="18" t="s">
        <v>447</v>
      </c>
      <c r="G30" s="18" t="s">
        <v>447</v>
      </c>
      <c r="H30" s="18" t="s">
        <v>448</v>
      </c>
      <c r="I30" s="18" t="s">
        <v>119</v>
      </c>
      <c r="J30" s="18" t="s">
        <v>51</v>
      </c>
      <c r="K30" s="19" t="s">
        <v>52</v>
      </c>
      <c r="L30" s="19" t="s">
        <v>120</v>
      </c>
      <c r="M30" s="19" t="s">
        <v>401</v>
      </c>
      <c r="N30" s="19" t="s">
        <v>55</v>
      </c>
      <c r="O30" s="19" t="s">
        <v>56</v>
      </c>
      <c r="P30" s="23" t="s">
        <v>449</v>
      </c>
      <c r="Q30" s="18" t="s">
        <v>450</v>
      </c>
      <c r="R30" s="23" t="s">
        <v>451</v>
      </c>
      <c r="S30" s="23" t="s">
        <v>452</v>
      </c>
      <c r="T30" s="23" t="s">
        <v>453</v>
      </c>
      <c r="U30" s="19" t="s">
        <v>62</v>
      </c>
      <c r="V30" s="18" t="s">
        <v>450</v>
      </c>
      <c r="W30" s="18" t="s">
        <v>455</v>
      </c>
      <c r="X30" s="18" t="s">
        <v>409</v>
      </c>
      <c r="Y30" s="21"/>
      <c r="Z30" s="21"/>
      <c r="AA30" s="21"/>
      <c r="AB30" s="21"/>
      <c r="AC30" s="19" t="s">
        <v>65</v>
      </c>
      <c r="AD30" s="12"/>
    </row>
    <row r="31">
      <c r="A31" s="13" t="s">
        <v>457</v>
      </c>
      <c r="B31" s="14">
        <v>8.0</v>
      </c>
      <c r="C31" s="14" t="s">
        <v>396</v>
      </c>
      <c r="D31" s="13" t="s">
        <v>397</v>
      </c>
      <c r="E31" s="13" t="s">
        <v>458</v>
      </c>
      <c r="F31" s="13" t="s">
        <v>459</v>
      </c>
      <c r="G31" s="13" t="s">
        <v>459</v>
      </c>
      <c r="H31" s="13" t="s">
        <v>460</v>
      </c>
      <c r="I31" s="13" t="s">
        <v>131</v>
      </c>
      <c r="J31" s="13" t="s">
        <v>51</v>
      </c>
      <c r="K31" s="14" t="s">
        <v>52</v>
      </c>
      <c r="L31" s="14" t="s">
        <v>132</v>
      </c>
      <c r="M31" s="14" t="s">
        <v>401</v>
      </c>
      <c r="N31" s="14" t="s">
        <v>55</v>
      </c>
      <c r="O31" s="14" t="s">
        <v>56</v>
      </c>
      <c r="P31" s="13" t="s">
        <v>461</v>
      </c>
      <c r="Q31" s="15" t="s">
        <v>462</v>
      </c>
      <c r="R31" s="15" t="s">
        <v>463</v>
      </c>
      <c r="S31" s="15" t="s">
        <v>464</v>
      </c>
      <c r="T31" s="15" t="s">
        <v>465</v>
      </c>
      <c r="U31" s="14" t="s">
        <v>77</v>
      </c>
      <c r="V31" s="13" t="s">
        <v>466</v>
      </c>
      <c r="W31" s="13" t="s">
        <v>467</v>
      </c>
      <c r="X31" s="13" t="s">
        <v>409</v>
      </c>
      <c r="Y31" s="16"/>
      <c r="Z31" s="16"/>
      <c r="AA31" s="16"/>
      <c r="AB31" s="16"/>
      <c r="AC31" s="14" t="s">
        <v>65</v>
      </c>
      <c r="AD31" s="17"/>
    </row>
    <row r="32">
      <c r="A32" s="18" t="s">
        <v>468</v>
      </c>
      <c r="B32" s="19">
        <v>8.0</v>
      </c>
      <c r="C32" s="19" t="s">
        <v>396</v>
      </c>
      <c r="D32" s="18" t="s">
        <v>397</v>
      </c>
      <c r="E32" s="18" t="s">
        <v>469</v>
      </c>
      <c r="F32" s="18" t="s">
        <v>470</v>
      </c>
      <c r="G32" s="18" t="s">
        <v>470</v>
      </c>
      <c r="H32" s="18" t="s">
        <v>471</v>
      </c>
      <c r="I32" s="18" t="s">
        <v>50</v>
      </c>
      <c r="J32" s="18" t="s">
        <v>51</v>
      </c>
      <c r="K32" s="19" t="s">
        <v>52</v>
      </c>
      <c r="L32" s="19" t="s">
        <v>53</v>
      </c>
      <c r="M32" s="19" t="s">
        <v>401</v>
      </c>
      <c r="N32" s="19" t="s">
        <v>55</v>
      </c>
      <c r="O32" s="19" t="s">
        <v>56</v>
      </c>
      <c r="P32" s="18" t="s">
        <v>472</v>
      </c>
      <c r="Q32" s="18" t="s">
        <v>473</v>
      </c>
      <c r="R32" s="18" t="s">
        <v>474</v>
      </c>
      <c r="S32" s="18" t="s">
        <v>475</v>
      </c>
      <c r="T32" s="18" t="s">
        <v>476</v>
      </c>
      <c r="U32" s="19" t="s">
        <v>91</v>
      </c>
      <c r="V32" s="18" t="s">
        <v>475</v>
      </c>
      <c r="W32" s="18" t="s">
        <v>477</v>
      </c>
      <c r="X32" s="18" t="s">
        <v>409</v>
      </c>
      <c r="Y32" s="21"/>
      <c r="Z32" s="21"/>
      <c r="AA32" s="21"/>
      <c r="AB32" s="21"/>
      <c r="AC32" s="19" t="s">
        <v>65</v>
      </c>
      <c r="AD32" s="12"/>
    </row>
    <row r="33">
      <c r="A33" s="13" t="s">
        <v>478</v>
      </c>
      <c r="B33" s="14">
        <v>8.0</v>
      </c>
      <c r="C33" s="14" t="s">
        <v>396</v>
      </c>
      <c r="D33" s="13" t="s">
        <v>397</v>
      </c>
      <c r="E33" s="13" t="s">
        <v>479</v>
      </c>
      <c r="F33" s="13" t="s">
        <v>480</v>
      </c>
      <c r="G33" s="13" t="s">
        <v>480</v>
      </c>
      <c r="H33" s="13" t="s">
        <v>481</v>
      </c>
      <c r="I33" s="13" t="s">
        <v>70</v>
      </c>
      <c r="J33" s="13" t="s">
        <v>51</v>
      </c>
      <c r="K33" s="14" t="s">
        <v>52</v>
      </c>
      <c r="L33" s="14" t="s">
        <v>71</v>
      </c>
      <c r="M33" s="14" t="s">
        <v>401</v>
      </c>
      <c r="N33" s="14" t="s">
        <v>55</v>
      </c>
      <c r="O33" s="14" t="s">
        <v>56</v>
      </c>
      <c r="P33" s="13" t="s">
        <v>483</v>
      </c>
      <c r="Q33" s="13" t="s">
        <v>484</v>
      </c>
      <c r="R33" s="13" t="s">
        <v>485</v>
      </c>
      <c r="S33" s="13" t="s">
        <v>486</v>
      </c>
      <c r="T33" s="13" t="s">
        <v>487</v>
      </c>
      <c r="U33" s="14" t="s">
        <v>109</v>
      </c>
      <c r="V33" s="13" t="s">
        <v>487</v>
      </c>
      <c r="W33" s="13" t="s">
        <v>489</v>
      </c>
      <c r="X33" s="13" t="s">
        <v>409</v>
      </c>
      <c r="Y33" s="16"/>
      <c r="Z33" s="16"/>
      <c r="AA33" s="16"/>
      <c r="AB33" s="16"/>
      <c r="AC33" s="14" t="s">
        <v>65</v>
      </c>
      <c r="AD33" s="17"/>
    </row>
    <row r="34">
      <c r="A34" s="18" t="s">
        <v>490</v>
      </c>
      <c r="B34" s="19">
        <v>8.0</v>
      </c>
      <c r="C34" s="19" t="s">
        <v>396</v>
      </c>
      <c r="D34" s="18" t="s">
        <v>397</v>
      </c>
      <c r="E34" s="18" t="s">
        <v>491</v>
      </c>
      <c r="F34" s="18" t="s">
        <v>492</v>
      </c>
      <c r="G34" s="18" t="s">
        <v>492</v>
      </c>
      <c r="H34" s="18" t="s">
        <v>493</v>
      </c>
      <c r="I34" s="18" t="s">
        <v>83</v>
      </c>
      <c r="J34" s="18" t="s">
        <v>51</v>
      </c>
      <c r="K34" s="19" t="s">
        <v>52</v>
      </c>
      <c r="L34" s="19" t="s">
        <v>71</v>
      </c>
      <c r="M34" s="19" t="s">
        <v>401</v>
      </c>
      <c r="N34" s="19" t="s">
        <v>55</v>
      </c>
      <c r="O34" s="19" t="s">
        <v>84</v>
      </c>
      <c r="P34" s="23" t="s">
        <v>494</v>
      </c>
      <c r="Q34" s="18" t="s">
        <v>495</v>
      </c>
      <c r="R34" s="18" t="s">
        <v>496</v>
      </c>
      <c r="S34" s="18" t="s">
        <v>497</v>
      </c>
      <c r="T34" s="18" t="s">
        <v>498</v>
      </c>
      <c r="U34" s="19" t="s">
        <v>62</v>
      </c>
      <c r="V34" s="18" t="s">
        <v>495</v>
      </c>
      <c r="W34" s="18" t="s">
        <v>499</v>
      </c>
      <c r="X34" s="18" t="s">
        <v>409</v>
      </c>
      <c r="Y34" s="18" t="s">
        <v>500</v>
      </c>
      <c r="Z34" s="18" t="s">
        <v>501</v>
      </c>
      <c r="AA34" s="18" t="s">
        <v>502</v>
      </c>
      <c r="AB34" s="21"/>
      <c r="AC34" s="19" t="s">
        <v>65</v>
      </c>
      <c r="AD34" s="12"/>
    </row>
    <row r="35">
      <c r="A35" s="13" t="s">
        <v>503</v>
      </c>
      <c r="B35" s="14">
        <v>8.0</v>
      </c>
      <c r="C35" s="14" t="s">
        <v>396</v>
      </c>
      <c r="D35" s="13" t="s">
        <v>397</v>
      </c>
      <c r="E35" s="13" t="s">
        <v>504</v>
      </c>
      <c r="F35" s="13" t="s">
        <v>505</v>
      </c>
      <c r="G35" s="13" t="s">
        <v>505</v>
      </c>
      <c r="H35" s="13" t="s">
        <v>506</v>
      </c>
      <c r="I35" s="13" t="s">
        <v>103</v>
      </c>
      <c r="J35" s="13" t="s">
        <v>51</v>
      </c>
      <c r="K35" s="14" t="s">
        <v>52</v>
      </c>
      <c r="L35" s="14" t="s">
        <v>71</v>
      </c>
      <c r="M35" s="14" t="s">
        <v>401</v>
      </c>
      <c r="N35" s="14" t="s">
        <v>55</v>
      </c>
      <c r="O35" s="14" t="s">
        <v>84</v>
      </c>
      <c r="P35" s="22" t="s">
        <v>507</v>
      </c>
      <c r="Q35" s="15" t="s">
        <v>508</v>
      </c>
      <c r="R35" s="13" t="s">
        <v>509</v>
      </c>
      <c r="S35" s="22" t="s">
        <v>510</v>
      </c>
      <c r="T35" s="13" t="s">
        <v>511</v>
      </c>
      <c r="U35" s="14" t="s">
        <v>77</v>
      </c>
      <c r="V35" s="13" t="s">
        <v>509</v>
      </c>
      <c r="W35" s="13" t="s">
        <v>512</v>
      </c>
      <c r="X35" s="13" t="s">
        <v>409</v>
      </c>
      <c r="Y35" s="13" t="s">
        <v>513</v>
      </c>
      <c r="Z35" s="13" t="s">
        <v>514</v>
      </c>
      <c r="AA35" s="13" t="s">
        <v>515</v>
      </c>
      <c r="AB35" s="16"/>
      <c r="AC35" s="14" t="s">
        <v>65</v>
      </c>
      <c r="AD35" s="17"/>
    </row>
    <row r="36">
      <c r="A36" s="18" t="s">
        <v>516</v>
      </c>
      <c r="B36" s="19">
        <v>8.0</v>
      </c>
      <c r="C36" s="19" t="s">
        <v>396</v>
      </c>
      <c r="D36" s="18" t="s">
        <v>397</v>
      </c>
      <c r="E36" s="18" t="s">
        <v>517</v>
      </c>
      <c r="F36" s="18" t="s">
        <v>518</v>
      </c>
      <c r="G36" s="18" t="s">
        <v>518</v>
      </c>
      <c r="H36" s="18" t="s">
        <v>519</v>
      </c>
      <c r="I36" s="18" t="s">
        <v>119</v>
      </c>
      <c r="J36" s="18" t="s">
        <v>51</v>
      </c>
      <c r="K36" s="19" t="s">
        <v>52</v>
      </c>
      <c r="L36" s="19" t="s">
        <v>120</v>
      </c>
      <c r="M36" s="19" t="s">
        <v>401</v>
      </c>
      <c r="N36" s="19" t="s">
        <v>55</v>
      </c>
      <c r="O36" s="19" t="s">
        <v>56</v>
      </c>
      <c r="P36" s="18" t="s">
        <v>520</v>
      </c>
      <c r="Q36" s="18" t="s">
        <v>521</v>
      </c>
      <c r="R36" s="18" t="s">
        <v>522</v>
      </c>
      <c r="S36" s="18" t="s">
        <v>523</v>
      </c>
      <c r="T36" s="18" t="s">
        <v>524</v>
      </c>
      <c r="U36" s="19" t="s">
        <v>91</v>
      </c>
      <c r="V36" s="18" t="s">
        <v>523</v>
      </c>
      <c r="W36" s="18" t="s">
        <v>526</v>
      </c>
      <c r="X36" s="18" t="s">
        <v>409</v>
      </c>
      <c r="Y36" s="21"/>
      <c r="Z36" s="21"/>
      <c r="AA36" s="21"/>
      <c r="AB36" s="21"/>
      <c r="AC36" s="19" t="s">
        <v>65</v>
      </c>
      <c r="AD36" s="12"/>
    </row>
    <row r="37">
      <c r="A37" s="13" t="s">
        <v>530</v>
      </c>
      <c r="B37" s="14">
        <v>8.0</v>
      </c>
      <c r="C37" s="14" t="s">
        <v>531</v>
      </c>
      <c r="D37" s="13" t="s">
        <v>532</v>
      </c>
      <c r="E37" s="13" t="s">
        <v>533</v>
      </c>
      <c r="F37" s="13" t="s">
        <v>534</v>
      </c>
      <c r="G37" s="13" t="s">
        <v>534</v>
      </c>
      <c r="H37" s="13" t="s">
        <v>535</v>
      </c>
      <c r="I37" s="13" t="s">
        <v>131</v>
      </c>
      <c r="J37" s="13" t="s">
        <v>51</v>
      </c>
      <c r="K37" s="14" t="s">
        <v>52</v>
      </c>
      <c r="L37" s="14" t="s">
        <v>132</v>
      </c>
      <c r="M37" s="14" t="s">
        <v>536</v>
      </c>
      <c r="N37" s="14" t="s">
        <v>55</v>
      </c>
      <c r="O37" s="14" t="s">
        <v>56</v>
      </c>
      <c r="P37" s="13" t="s">
        <v>537</v>
      </c>
      <c r="Q37" s="13" t="s">
        <v>538</v>
      </c>
      <c r="R37" s="13" t="s">
        <v>539</v>
      </c>
      <c r="S37" s="13" t="s">
        <v>540</v>
      </c>
      <c r="T37" s="13" t="s">
        <v>541</v>
      </c>
      <c r="U37" s="14" t="s">
        <v>109</v>
      </c>
      <c r="V37" s="13" t="s">
        <v>541</v>
      </c>
      <c r="W37" s="13" t="s">
        <v>542</v>
      </c>
      <c r="X37" s="13" t="s">
        <v>543</v>
      </c>
      <c r="Y37" s="16"/>
      <c r="Z37" s="16"/>
      <c r="AA37" s="16"/>
      <c r="AB37" s="16"/>
      <c r="AC37" s="14" t="s">
        <v>65</v>
      </c>
      <c r="AD37" s="17"/>
    </row>
    <row r="38">
      <c r="A38" s="18" t="s">
        <v>544</v>
      </c>
      <c r="B38" s="19">
        <v>8.0</v>
      </c>
      <c r="C38" s="19" t="s">
        <v>531</v>
      </c>
      <c r="D38" s="18" t="s">
        <v>532</v>
      </c>
      <c r="E38" s="18" t="s">
        <v>545</v>
      </c>
      <c r="F38" s="18" t="s">
        <v>546</v>
      </c>
      <c r="G38" s="18" t="s">
        <v>546</v>
      </c>
      <c r="H38" s="18" t="s">
        <v>547</v>
      </c>
      <c r="I38" s="18" t="s">
        <v>50</v>
      </c>
      <c r="J38" s="18" t="s">
        <v>51</v>
      </c>
      <c r="K38" s="19" t="s">
        <v>52</v>
      </c>
      <c r="L38" s="19" t="s">
        <v>53</v>
      </c>
      <c r="M38" s="19" t="s">
        <v>536</v>
      </c>
      <c r="N38" s="19" t="s">
        <v>55</v>
      </c>
      <c r="O38" s="19" t="s">
        <v>56</v>
      </c>
      <c r="P38" s="18" t="s">
        <v>548</v>
      </c>
      <c r="Q38" s="18" t="s">
        <v>549</v>
      </c>
      <c r="R38" s="23" t="s">
        <v>550</v>
      </c>
      <c r="S38" s="23" t="s">
        <v>551</v>
      </c>
      <c r="T38" s="23" t="s">
        <v>552</v>
      </c>
      <c r="U38" s="19" t="s">
        <v>62</v>
      </c>
      <c r="V38" s="18" t="s">
        <v>549</v>
      </c>
      <c r="W38" s="18" t="s">
        <v>553</v>
      </c>
      <c r="X38" s="18" t="s">
        <v>543</v>
      </c>
      <c r="Y38" s="21"/>
      <c r="Z38" s="21"/>
      <c r="AA38" s="21"/>
      <c r="AB38" s="21"/>
      <c r="AC38" s="19" t="s">
        <v>65</v>
      </c>
      <c r="AD38" s="12"/>
    </row>
    <row r="39">
      <c r="A39" s="13" t="s">
        <v>554</v>
      </c>
      <c r="B39" s="14">
        <v>8.0</v>
      </c>
      <c r="C39" s="14" t="s">
        <v>531</v>
      </c>
      <c r="D39" s="13" t="s">
        <v>532</v>
      </c>
      <c r="E39" s="13" t="s">
        <v>555</v>
      </c>
      <c r="F39" s="13" t="s">
        <v>556</v>
      </c>
      <c r="G39" s="13" t="s">
        <v>556</v>
      </c>
      <c r="H39" s="13" t="s">
        <v>557</v>
      </c>
      <c r="I39" s="13" t="s">
        <v>70</v>
      </c>
      <c r="J39" s="13" t="s">
        <v>51</v>
      </c>
      <c r="K39" s="14" t="s">
        <v>52</v>
      </c>
      <c r="L39" s="14" t="s">
        <v>71</v>
      </c>
      <c r="M39" s="14" t="s">
        <v>536</v>
      </c>
      <c r="N39" s="14" t="s">
        <v>55</v>
      </c>
      <c r="O39" s="14" t="s">
        <v>56</v>
      </c>
      <c r="P39" s="13" t="s">
        <v>559</v>
      </c>
      <c r="Q39" s="15" t="s">
        <v>560</v>
      </c>
      <c r="R39" s="15" t="s">
        <v>561</v>
      </c>
      <c r="S39" s="15" t="s">
        <v>562</v>
      </c>
      <c r="T39" s="15" t="s">
        <v>563</v>
      </c>
      <c r="U39" s="14" t="s">
        <v>77</v>
      </c>
      <c r="V39" s="13" t="s">
        <v>565</v>
      </c>
      <c r="W39" s="13" t="s">
        <v>566</v>
      </c>
      <c r="X39" s="13" t="s">
        <v>543</v>
      </c>
      <c r="Y39" s="16"/>
      <c r="Z39" s="16"/>
      <c r="AA39" s="16"/>
      <c r="AB39" s="16"/>
      <c r="AC39" s="14" t="s">
        <v>65</v>
      </c>
      <c r="AD39" s="17"/>
    </row>
    <row r="40">
      <c r="A40" s="18" t="s">
        <v>567</v>
      </c>
      <c r="B40" s="19">
        <v>8.0</v>
      </c>
      <c r="C40" s="19" t="s">
        <v>531</v>
      </c>
      <c r="D40" s="18" t="s">
        <v>532</v>
      </c>
      <c r="E40" s="18" t="s">
        <v>568</v>
      </c>
      <c r="F40" s="18" t="s">
        <v>569</v>
      </c>
      <c r="G40" s="18" t="s">
        <v>569</v>
      </c>
      <c r="H40" s="18" t="s">
        <v>570</v>
      </c>
      <c r="I40" s="18" t="s">
        <v>83</v>
      </c>
      <c r="J40" s="18" t="s">
        <v>51</v>
      </c>
      <c r="K40" s="19" t="s">
        <v>52</v>
      </c>
      <c r="L40" s="19" t="s">
        <v>71</v>
      </c>
      <c r="M40" s="19" t="s">
        <v>536</v>
      </c>
      <c r="N40" s="19" t="s">
        <v>55</v>
      </c>
      <c r="O40" s="19" t="s">
        <v>84</v>
      </c>
      <c r="P40" s="20" t="s">
        <v>571</v>
      </c>
      <c r="Q40" s="20" t="s">
        <v>572</v>
      </c>
      <c r="R40" s="20" t="s">
        <v>573</v>
      </c>
      <c r="S40" s="20" t="s">
        <v>574</v>
      </c>
      <c r="T40" s="18" t="s">
        <v>575</v>
      </c>
      <c r="U40" s="19" t="s">
        <v>91</v>
      </c>
      <c r="V40" s="18" t="s">
        <v>576</v>
      </c>
      <c r="W40" s="18" t="s">
        <v>577</v>
      </c>
      <c r="X40" s="18" t="s">
        <v>543</v>
      </c>
      <c r="Y40" s="18" t="s">
        <v>578</v>
      </c>
      <c r="Z40" s="18" t="s">
        <v>579</v>
      </c>
      <c r="AA40" s="18" t="s">
        <v>580</v>
      </c>
      <c r="AB40" s="21"/>
      <c r="AC40" s="19" t="s">
        <v>65</v>
      </c>
      <c r="AD40" s="12"/>
    </row>
    <row r="41">
      <c r="A41" s="36" t="s">
        <v>581</v>
      </c>
      <c r="B41" s="37">
        <v>8.0</v>
      </c>
      <c r="C41" s="36" t="s">
        <v>531</v>
      </c>
      <c r="D41" s="36" t="s">
        <v>532</v>
      </c>
      <c r="E41" s="36" t="s">
        <v>582</v>
      </c>
      <c r="F41" s="36" t="s">
        <v>583</v>
      </c>
      <c r="G41" s="36" t="s">
        <v>556</v>
      </c>
      <c r="H41" s="36" t="s">
        <v>584</v>
      </c>
      <c r="I41" s="36" t="s">
        <v>585</v>
      </c>
      <c r="J41" s="36" t="s">
        <v>586</v>
      </c>
      <c r="K41" s="36" t="s">
        <v>52</v>
      </c>
      <c r="L41" s="38"/>
      <c r="M41" s="36" t="s">
        <v>587</v>
      </c>
      <c r="N41" s="36" t="s">
        <v>207</v>
      </c>
      <c r="O41" s="36" t="s">
        <v>84</v>
      </c>
      <c r="P41" s="36" t="s">
        <v>588</v>
      </c>
      <c r="Q41" s="36" t="s">
        <v>589</v>
      </c>
      <c r="R41" s="36" t="s">
        <v>590</v>
      </c>
      <c r="S41" s="36" t="s">
        <v>591</v>
      </c>
      <c r="T41" s="36" t="s">
        <v>592</v>
      </c>
      <c r="U41" s="36" t="s">
        <v>77</v>
      </c>
      <c r="V41" s="36" t="s">
        <v>590</v>
      </c>
      <c r="W41" s="36" t="s">
        <v>593</v>
      </c>
      <c r="X41" s="36" t="s">
        <v>594</v>
      </c>
      <c r="Y41" s="36" t="s">
        <v>595</v>
      </c>
      <c r="Z41" s="36" t="s">
        <v>596</v>
      </c>
      <c r="AA41" s="38"/>
      <c r="AB41" s="38"/>
      <c r="AC41" s="36" t="s">
        <v>65</v>
      </c>
      <c r="AD41" s="39" t="s">
        <v>597</v>
      </c>
    </row>
    <row r="42">
      <c r="A42" s="18" t="s">
        <v>598</v>
      </c>
      <c r="B42" s="19">
        <v>8.0</v>
      </c>
      <c r="C42" s="19" t="s">
        <v>531</v>
      </c>
      <c r="D42" s="18" t="s">
        <v>532</v>
      </c>
      <c r="E42" s="18" t="s">
        <v>533</v>
      </c>
      <c r="F42" s="18" t="s">
        <v>599</v>
      </c>
      <c r="G42" s="18" t="s">
        <v>599</v>
      </c>
      <c r="H42" s="18" t="s">
        <v>601</v>
      </c>
      <c r="I42" s="18" t="s">
        <v>119</v>
      </c>
      <c r="J42" s="18" t="s">
        <v>51</v>
      </c>
      <c r="K42" s="19" t="s">
        <v>52</v>
      </c>
      <c r="L42" s="19" t="s">
        <v>120</v>
      </c>
      <c r="M42" s="19" t="s">
        <v>536</v>
      </c>
      <c r="N42" s="19" t="s">
        <v>55</v>
      </c>
      <c r="O42" s="19" t="s">
        <v>56</v>
      </c>
      <c r="P42" s="18" t="s">
        <v>603</v>
      </c>
      <c r="Q42" s="23" t="s">
        <v>604</v>
      </c>
      <c r="R42" s="23" t="s">
        <v>605</v>
      </c>
      <c r="S42" s="23" t="s">
        <v>606</v>
      </c>
      <c r="T42" s="23" t="s">
        <v>607</v>
      </c>
      <c r="U42" s="19" t="s">
        <v>62</v>
      </c>
      <c r="V42" s="18" t="s">
        <v>608</v>
      </c>
      <c r="W42" s="18" t="s">
        <v>609</v>
      </c>
      <c r="X42" s="18" t="s">
        <v>543</v>
      </c>
      <c r="Y42" s="21"/>
      <c r="Z42" s="21"/>
      <c r="AA42" s="21"/>
      <c r="AB42" s="21"/>
      <c r="AC42" s="19" t="s">
        <v>65</v>
      </c>
      <c r="AD42" s="12"/>
    </row>
    <row r="43">
      <c r="A43" s="13" t="s">
        <v>610</v>
      </c>
      <c r="B43" s="14">
        <v>8.0</v>
      </c>
      <c r="C43" s="14" t="s">
        <v>531</v>
      </c>
      <c r="D43" s="13" t="s">
        <v>532</v>
      </c>
      <c r="E43" s="13" t="s">
        <v>611</v>
      </c>
      <c r="F43" s="13" t="s">
        <v>612</v>
      </c>
      <c r="G43" s="13" t="s">
        <v>612</v>
      </c>
      <c r="H43" s="13" t="s">
        <v>613</v>
      </c>
      <c r="I43" s="13" t="s">
        <v>131</v>
      </c>
      <c r="J43" s="13" t="s">
        <v>51</v>
      </c>
      <c r="K43" s="14" t="s">
        <v>52</v>
      </c>
      <c r="L43" s="14" t="s">
        <v>132</v>
      </c>
      <c r="M43" s="14" t="s">
        <v>536</v>
      </c>
      <c r="N43" s="14" t="s">
        <v>55</v>
      </c>
      <c r="O43" s="14" t="s">
        <v>56</v>
      </c>
      <c r="P43" s="13" t="s">
        <v>614</v>
      </c>
      <c r="Q43" s="13" t="s">
        <v>615</v>
      </c>
      <c r="R43" s="13" t="s">
        <v>616</v>
      </c>
      <c r="S43" s="13" t="s">
        <v>617</v>
      </c>
      <c r="T43" s="13" t="s">
        <v>618</v>
      </c>
      <c r="U43" s="14" t="s">
        <v>77</v>
      </c>
      <c r="V43" s="13" t="s">
        <v>616</v>
      </c>
      <c r="W43" s="13" t="s">
        <v>619</v>
      </c>
      <c r="X43" s="13" t="s">
        <v>543</v>
      </c>
      <c r="Y43" s="16"/>
      <c r="Z43" s="16"/>
      <c r="AA43" s="16"/>
      <c r="AB43" s="16"/>
      <c r="AC43" s="14" t="s">
        <v>65</v>
      </c>
      <c r="AD43" s="17"/>
    </row>
    <row r="44">
      <c r="A44" s="18" t="s">
        <v>620</v>
      </c>
      <c r="B44" s="19">
        <v>8.0</v>
      </c>
      <c r="C44" s="19" t="s">
        <v>531</v>
      </c>
      <c r="D44" s="18" t="s">
        <v>532</v>
      </c>
      <c r="E44" s="18" t="s">
        <v>62</v>
      </c>
      <c r="F44" s="18" t="s">
        <v>621</v>
      </c>
      <c r="G44" s="18" t="s">
        <v>621</v>
      </c>
      <c r="H44" s="18" t="s">
        <v>622</v>
      </c>
      <c r="I44" s="18" t="s">
        <v>50</v>
      </c>
      <c r="J44" s="18" t="s">
        <v>51</v>
      </c>
      <c r="K44" s="19" t="s">
        <v>52</v>
      </c>
      <c r="L44" s="19" t="s">
        <v>53</v>
      </c>
      <c r="M44" s="19" t="s">
        <v>536</v>
      </c>
      <c r="N44" s="19" t="s">
        <v>55</v>
      </c>
      <c r="O44" s="19" t="s">
        <v>56</v>
      </c>
      <c r="P44" s="18" t="s">
        <v>623</v>
      </c>
      <c r="Q44" s="23" t="s">
        <v>624</v>
      </c>
      <c r="R44" s="23" t="s">
        <v>625</v>
      </c>
      <c r="S44" s="18" t="s">
        <v>626</v>
      </c>
      <c r="T44" s="23" t="s">
        <v>627</v>
      </c>
      <c r="U44" s="19" t="s">
        <v>91</v>
      </c>
      <c r="V44" s="18" t="s">
        <v>626</v>
      </c>
      <c r="W44" s="18" t="s">
        <v>628</v>
      </c>
      <c r="X44" s="18" t="s">
        <v>543</v>
      </c>
      <c r="Y44" s="21"/>
      <c r="Z44" s="21"/>
      <c r="AA44" s="21"/>
      <c r="AB44" s="21"/>
      <c r="AC44" s="19" t="s">
        <v>65</v>
      </c>
      <c r="AD44" s="12"/>
    </row>
    <row r="45">
      <c r="A45" s="13" t="s">
        <v>629</v>
      </c>
      <c r="B45" s="14">
        <v>8.0</v>
      </c>
      <c r="C45" s="14" t="s">
        <v>631</v>
      </c>
      <c r="D45" s="13" t="s">
        <v>632</v>
      </c>
      <c r="E45" s="13" t="s">
        <v>77</v>
      </c>
      <c r="F45" s="13" t="s">
        <v>633</v>
      </c>
      <c r="G45" s="13" t="s">
        <v>633</v>
      </c>
      <c r="H45" s="13" t="s">
        <v>637</v>
      </c>
      <c r="I45" s="13" t="s">
        <v>70</v>
      </c>
      <c r="J45" s="13" t="s">
        <v>51</v>
      </c>
      <c r="K45" s="14" t="s">
        <v>52</v>
      </c>
      <c r="L45" s="14" t="s">
        <v>71</v>
      </c>
      <c r="M45" s="40" t="s">
        <v>638</v>
      </c>
      <c r="N45" s="14" t="s">
        <v>55</v>
      </c>
      <c r="O45" s="14" t="s">
        <v>56</v>
      </c>
      <c r="P45" s="13" t="s">
        <v>639</v>
      </c>
      <c r="Q45" s="13" t="s">
        <v>640</v>
      </c>
      <c r="R45" s="13" t="s">
        <v>641</v>
      </c>
      <c r="S45" s="13" t="s">
        <v>642</v>
      </c>
      <c r="T45" s="13" t="s">
        <v>643</v>
      </c>
      <c r="U45" s="14" t="s">
        <v>109</v>
      </c>
      <c r="V45" s="13" t="s">
        <v>643</v>
      </c>
      <c r="W45" s="13" t="s">
        <v>644</v>
      </c>
      <c r="X45" s="13" t="s">
        <v>645</v>
      </c>
      <c r="Y45" s="16"/>
      <c r="Z45" s="16"/>
      <c r="AA45" s="16"/>
      <c r="AB45" s="16"/>
      <c r="AC45" s="14" t="s">
        <v>65</v>
      </c>
      <c r="AD45" s="17"/>
    </row>
    <row r="46">
      <c r="A46" s="18" t="s">
        <v>646</v>
      </c>
      <c r="B46" s="19">
        <v>8.0</v>
      </c>
      <c r="C46" s="19" t="s">
        <v>631</v>
      </c>
      <c r="D46" s="18" t="s">
        <v>632</v>
      </c>
      <c r="E46" s="18" t="s">
        <v>647</v>
      </c>
      <c r="F46" s="18" t="s">
        <v>648</v>
      </c>
      <c r="G46" s="18" t="s">
        <v>648</v>
      </c>
      <c r="H46" s="18" t="s">
        <v>649</v>
      </c>
      <c r="I46" s="18" t="s">
        <v>83</v>
      </c>
      <c r="J46" s="18" t="s">
        <v>51</v>
      </c>
      <c r="K46" s="19" t="s">
        <v>52</v>
      </c>
      <c r="L46" s="19" t="s">
        <v>71</v>
      </c>
      <c r="M46" s="19" t="s">
        <v>638</v>
      </c>
      <c r="N46" s="19" t="s">
        <v>55</v>
      </c>
      <c r="O46" s="19" t="s">
        <v>84</v>
      </c>
      <c r="P46" s="20" t="s">
        <v>650</v>
      </c>
      <c r="Q46" s="18" t="s">
        <v>651</v>
      </c>
      <c r="R46" s="18" t="s">
        <v>652</v>
      </c>
      <c r="S46" s="18" t="s">
        <v>653</v>
      </c>
      <c r="T46" s="18" t="s">
        <v>654</v>
      </c>
      <c r="U46" s="19" t="s">
        <v>62</v>
      </c>
      <c r="V46" s="18" t="s">
        <v>651</v>
      </c>
      <c r="W46" s="18" t="s">
        <v>655</v>
      </c>
      <c r="X46" s="18" t="s">
        <v>645</v>
      </c>
      <c r="Y46" s="18" t="s">
        <v>656</v>
      </c>
      <c r="Z46" s="18" t="s">
        <v>657</v>
      </c>
      <c r="AA46" s="18" t="s">
        <v>658</v>
      </c>
      <c r="AB46" s="21"/>
      <c r="AC46" s="19" t="s">
        <v>65</v>
      </c>
      <c r="AD46" s="12"/>
    </row>
    <row r="47">
      <c r="A47" s="13" t="s">
        <v>659</v>
      </c>
      <c r="B47" s="14">
        <v>8.0</v>
      </c>
      <c r="C47" s="14" t="s">
        <v>631</v>
      </c>
      <c r="D47" s="13" t="s">
        <v>632</v>
      </c>
      <c r="E47" s="13" t="s">
        <v>528</v>
      </c>
      <c r="F47" s="13" t="s">
        <v>660</v>
      </c>
      <c r="G47" s="13" t="s">
        <v>660</v>
      </c>
      <c r="H47" s="13" t="s">
        <v>661</v>
      </c>
      <c r="I47" s="13" t="s">
        <v>103</v>
      </c>
      <c r="J47" s="13" t="s">
        <v>51</v>
      </c>
      <c r="K47" s="14" t="s">
        <v>52</v>
      </c>
      <c r="L47" s="14" t="s">
        <v>71</v>
      </c>
      <c r="M47" s="14" t="s">
        <v>638</v>
      </c>
      <c r="N47" s="14" t="s">
        <v>55</v>
      </c>
      <c r="O47" s="14" t="s">
        <v>84</v>
      </c>
      <c r="P47" s="22" t="s">
        <v>662</v>
      </c>
      <c r="Q47" s="13" t="s">
        <v>663</v>
      </c>
      <c r="R47" s="13" t="s">
        <v>664</v>
      </c>
      <c r="S47" s="13" t="s">
        <v>665</v>
      </c>
      <c r="T47" s="13" t="s">
        <v>666</v>
      </c>
      <c r="U47" s="14" t="s">
        <v>77</v>
      </c>
      <c r="V47" s="13" t="s">
        <v>664</v>
      </c>
      <c r="W47" s="13" t="s">
        <v>667</v>
      </c>
      <c r="X47" s="13" t="s">
        <v>645</v>
      </c>
      <c r="Y47" s="13" t="s">
        <v>668</v>
      </c>
      <c r="Z47" s="13" t="s">
        <v>669</v>
      </c>
      <c r="AA47" s="13" t="s">
        <v>670</v>
      </c>
      <c r="AB47" s="16"/>
      <c r="AC47" s="14" t="s">
        <v>65</v>
      </c>
      <c r="AD47" s="17"/>
    </row>
    <row r="48">
      <c r="A48" s="18" t="s">
        <v>671</v>
      </c>
      <c r="B48" s="19">
        <v>8.0</v>
      </c>
      <c r="C48" s="19" t="s">
        <v>631</v>
      </c>
      <c r="D48" s="18" t="s">
        <v>632</v>
      </c>
      <c r="E48" s="18" t="s">
        <v>272</v>
      </c>
      <c r="F48" s="18" t="s">
        <v>672</v>
      </c>
      <c r="G48" s="18" t="s">
        <v>672</v>
      </c>
      <c r="H48" s="18" t="s">
        <v>673</v>
      </c>
      <c r="I48" s="18" t="s">
        <v>119</v>
      </c>
      <c r="J48" s="18" t="s">
        <v>51</v>
      </c>
      <c r="K48" s="19" t="s">
        <v>52</v>
      </c>
      <c r="L48" s="19" t="s">
        <v>120</v>
      </c>
      <c r="M48" s="19" t="s">
        <v>638</v>
      </c>
      <c r="N48" s="19" t="s">
        <v>55</v>
      </c>
      <c r="O48" s="19" t="s">
        <v>56</v>
      </c>
      <c r="P48" s="23" t="s">
        <v>674</v>
      </c>
      <c r="Q48" s="18" t="s">
        <v>675</v>
      </c>
      <c r="R48" s="18" t="s">
        <v>676</v>
      </c>
      <c r="S48" s="23" t="s">
        <v>677</v>
      </c>
      <c r="T48" s="18" t="s">
        <v>678</v>
      </c>
      <c r="U48" s="19" t="s">
        <v>91</v>
      </c>
      <c r="V48" s="18" t="s">
        <v>679</v>
      </c>
      <c r="W48" s="18" t="s">
        <v>680</v>
      </c>
      <c r="X48" s="18" t="s">
        <v>645</v>
      </c>
      <c r="Y48" s="21"/>
      <c r="Z48" s="21"/>
      <c r="AA48" s="21"/>
      <c r="AB48" s="21"/>
      <c r="AC48" s="19" t="s">
        <v>65</v>
      </c>
      <c r="AD48" s="12"/>
    </row>
    <row r="49">
      <c r="A49" s="13" t="s">
        <v>681</v>
      </c>
      <c r="B49" s="14">
        <v>8.0</v>
      </c>
      <c r="C49" s="14" t="s">
        <v>631</v>
      </c>
      <c r="D49" s="13" t="s">
        <v>632</v>
      </c>
      <c r="E49" s="13" t="s">
        <v>682</v>
      </c>
      <c r="F49" s="13" t="s">
        <v>683</v>
      </c>
      <c r="G49" s="13" t="s">
        <v>683</v>
      </c>
      <c r="H49" s="13" t="s">
        <v>684</v>
      </c>
      <c r="I49" s="13" t="s">
        <v>131</v>
      </c>
      <c r="J49" s="13" t="s">
        <v>51</v>
      </c>
      <c r="K49" s="14" t="s">
        <v>52</v>
      </c>
      <c r="L49" s="14" t="s">
        <v>132</v>
      </c>
      <c r="M49" s="14" t="s">
        <v>638</v>
      </c>
      <c r="N49" s="14" t="s">
        <v>55</v>
      </c>
      <c r="O49" s="14" t="s">
        <v>56</v>
      </c>
      <c r="P49" s="13" t="s">
        <v>686</v>
      </c>
      <c r="Q49" s="13" t="s">
        <v>687</v>
      </c>
      <c r="R49" s="13" t="s">
        <v>688</v>
      </c>
      <c r="S49" s="13" t="s">
        <v>690</v>
      </c>
      <c r="T49" s="13" t="s">
        <v>691</v>
      </c>
      <c r="U49" s="14" t="s">
        <v>109</v>
      </c>
      <c r="V49" s="13" t="s">
        <v>691</v>
      </c>
      <c r="W49" s="13" t="s">
        <v>692</v>
      </c>
      <c r="X49" s="13" t="s">
        <v>645</v>
      </c>
      <c r="Y49" s="16"/>
      <c r="Z49" s="16"/>
      <c r="AA49" s="16"/>
      <c r="AB49" s="16"/>
      <c r="AC49" s="14" t="s">
        <v>65</v>
      </c>
      <c r="AD49" s="17"/>
    </row>
    <row r="50">
      <c r="A50" s="18" t="s">
        <v>693</v>
      </c>
      <c r="B50" s="19">
        <v>8.0</v>
      </c>
      <c r="C50" s="19" t="s">
        <v>631</v>
      </c>
      <c r="D50" s="18" t="s">
        <v>632</v>
      </c>
      <c r="E50" s="18" t="s">
        <v>694</v>
      </c>
      <c r="F50" s="18" t="s">
        <v>695</v>
      </c>
      <c r="G50" s="18" t="s">
        <v>695</v>
      </c>
      <c r="H50" s="18" t="s">
        <v>696</v>
      </c>
      <c r="I50" s="18" t="s">
        <v>50</v>
      </c>
      <c r="J50" s="18" t="s">
        <v>51</v>
      </c>
      <c r="K50" s="19" t="s">
        <v>52</v>
      </c>
      <c r="L50" s="19" t="s">
        <v>53</v>
      </c>
      <c r="M50" s="19" t="s">
        <v>638</v>
      </c>
      <c r="N50" s="19" t="s">
        <v>55</v>
      </c>
      <c r="O50" s="19" t="s">
        <v>56</v>
      </c>
      <c r="P50" s="18" t="s">
        <v>697</v>
      </c>
      <c r="Q50" s="18" t="s">
        <v>698</v>
      </c>
      <c r="R50" s="23" t="s">
        <v>699</v>
      </c>
      <c r="S50" s="23" t="s">
        <v>700</v>
      </c>
      <c r="T50" s="23" t="s">
        <v>701</v>
      </c>
      <c r="U50" s="19" t="s">
        <v>62</v>
      </c>
      <c r="V50" s="18" t="s">
        <v>698</v>
      </c>
      <c r="W50" s="18" t="s">
        <v>702</v>
      </c>
      <c r="X50" s="18" t="s">
        <v>645</v>
      </c>
      <c r="Y50" s="21"/>
      <c r="Z50" s="21"/>
      <c r="AA50" s="21"/>
      <c r="AB50" s="21"/>
      <c r="AC50" s="19" t="s">
        <v>65</v>
      </c>
      <c r="AD50" s="12"/>
    </row>
    <row r="51">
      <c r="A51" s="41" t="s">
        <v>703</v>
      </c>
      <c r="B51" s="42">
        <v>8.0</v>
      </c>
      <c r="C51" s="42" t="s">
        <v>631</v>
      </c>
      <c r="D51" s="41" t="s">
        <v>632</v>
      </c>
      <c r="E51" s="41" t="s">
        <v>704</v>
      </c>
      <c r="F51" s="41" t="s">
        <v>705</v>
      </c>
      <c r="G51" s="41" t="s">
        <v>705</v>
      </c>
      <c r="H51" s="41" t="s">
        <v>706</v>
      </c>
      <c r="I51" s="41" t="s">
        <v>70</v>
      </c>
      <c r="J51" s="41" t="s">
        <v>51</v>
      </c>
      <c r="K51" s="42" t="s">
        <v>52</v>
      </c>
      <c r="L51" s="42" t="s">
        <v>71</v>
      </c>
      <c r="M51" s="42" t="s">
        <v>638</v>
      </c>
      <c r="N51" s="42" t="s">
        <v>55</v>
      </c>
      <c r="O51" s="42" t="s">
        <v>56</v>
      </c>
      <c r="P51" s="41" t="s">
        <v>707</v>
      </c>
      <c r="Q51" s="41" t="s">
        <v>708</v>
      </c>
      <c r="R51" s="41" t="s">
        <v>709</v>
      </c>
      <c r="S51" s="41" t="s">
        <v>710</v>
      </c>
      <c r="T51" s="41" t="s">
        <v>711</v>
      </c>
      <c r="U51" s="42" t="s">
        <v>77</v>
      </c>
      <c r="V51" s="41" t="s">
        <v>709</v>
      </c>
      <c r="W51" s="41" t="s">
        <v>712</v>
      </c>
      <c r="X51" s="41" t="s">
        <v>645</v>
      </c>
      <c r="Y51" s="43"/>
      <c r="Z51" s="43"/>
      <c r="AA51" s="43"/>
      <c r="AB51" s="43"/>
      <c r="AC51" s="42" t="s">
        <v>65</v>
      </c>
      <c r="AD51" s="17"/>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4"/>
      <c r="AD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c r="AD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c r="AD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4"/>
      <c r="AD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c r="AD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c r="AD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c r="AD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c r="AD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c r="AD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c r="AD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c r="AD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c r="AD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c r="AD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c r="AD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c r="AD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c r="AD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c r="AD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c r="AD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c r="AD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c r="AD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c r="AD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c r="AD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c r="AD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c r="AD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c r="AD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c r="AD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c r="AD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c r="AD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c r="AD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c r="AD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c r="AD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c r="AD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c r="AD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c r="AD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c r="AD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c r="AD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c r="AD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c r="AD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c r="AD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c r="AD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c r="AD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c r="AD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c r="AD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c r="AD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c r="AD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c r="AD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c r="AD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c r="AD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c r="AD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c r="AD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c r="AD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c r="AD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c r="AD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c r="AD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c r="AD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c r="AD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c r="AD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c r="AD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c r="AD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c r="AD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c r="AD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c r="AD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c r="AD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c r="AD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c r="AD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c r="AD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c r="AD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c r="AD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c r="AD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c r="AD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c r="AD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c r="AD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c r="AD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c r="AD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c r="AD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c r="AD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c r="AD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c r="AD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c r="AD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c r="AD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c r="AD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c r="AD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c r="AD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c r="AD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c r="AD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c r="AD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c r="AD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c r="AD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c r="AD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c r="AD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c r="AD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c r="AD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c r="AD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c r="AD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c r="AD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c r="AD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c r="AD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c r="AD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c r="AD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c r="AD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c r="AD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c r="AD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c r="AD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c r="AD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c r="AD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c r="AD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c r="AC518" s="44"/>
      <c r="AD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c r="AD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c r="AD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c r="AD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c r="AD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c r="AD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c r="AD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c r="AD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c r="AD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c r="AD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c r="AD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c r="AD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c r="AD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c r="AD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c r="AD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c r="AD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c r="AD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c r="AD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c r="AD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c r="AD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c r="AD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c r="AD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c r="AD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c r="AD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c r="AD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c r="AD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c r="AD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c r="AD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c r="AD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c r="AD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c r="AD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c r="AD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c r="AD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c r="AD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c r="AD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c r="AD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c r="AD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c r="AD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c r="AD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c r="AD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c r="AD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c r="AD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c r="AD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c r="AD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c r="AD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c r="AD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c r="AD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c r="AD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c r="AD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c r="AD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c r="AD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c r="AD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c r="AD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c r="AD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c r="AD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c r="AD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c r="AD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c r="AD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c r="AD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c r="AD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c r="AD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c r="AD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c r="AD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c r="AD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c r="AD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c r="AD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c r="AD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c r="AD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c r="AD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c r="AD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c r="AD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c r="AD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c r="AD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c r="AD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c r="AD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c r="AD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c r="AD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c r="AD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c r="AD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c r="AD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c r="AD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c r="AD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c r="AD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c r="AD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c r="AD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c r="AD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c r="AD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c r="AD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c r="AD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c r="AD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c r="AD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c r="AD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c r="AD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c r="AD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c r="AD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c r="AD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c r="AD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c r="AD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c r="AD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c r="AD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c r="AD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c r="AD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c r="AD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c r="AD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c r="AD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c r="AD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c r="AD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c r="AD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c r="AD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c r="AD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c r="AD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c r="AD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c r="AD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c r="AD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c r="AD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c r="AD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c r="AD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c r="AD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c r="AD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c r="AD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c r="AD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c r="AD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c r="AD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c r="AD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c r="AD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c r="AD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c r="AD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c r="AD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c r="AD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c r="AD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c r="AD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c r="AD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c r="AD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c r="AD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c r="AD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c r="AD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c r="AD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c r="AD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c r="AD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c r="AD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c r="AD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c r="AD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c r="AD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c r="AD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c r="AD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c r="AD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c r="AD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c r="AD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c r="AD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c r="AD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c r="AD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c r="AD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c r="AD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c r="AD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c r="AD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c r="AD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c r="AD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c r="AD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c r="AD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c r="AD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c r="AD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c r="AD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c r="AD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c r="AD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c r="AD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c r="AD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c r="AD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c r="AD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c r="AD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c r="AD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c r="AD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c r="AD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c r="AD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c r="AD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c r="AD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c r="AD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c r="AD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c r="AD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c r="AD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c r="AD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c r="AD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c r="AD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c r="AD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c r="AD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c r="AD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c r="AD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c r="AD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c r="AD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c r="AD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c r="AD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c r="AD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c r="AD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c r="AD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c r="AD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c r="AD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c r="AD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c r="AD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c r="AD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c r="AD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c r="AD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c r="AD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c r="AD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c r="AD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c r="AD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c r="AD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c r="AD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c r="AD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c r="AD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c r="AD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c r="AD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c r="AD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c r="AD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c r="AD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c r="AD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c r="AD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c r="AD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c r="AD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c r="AD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c r="AD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c r="AC768" s="44"/>
      <c r="AD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c r="AC769" s="44"/>
      <c r="AD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c r="AD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c r="AC771" s="44"/>
      <c r="AD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c r="AC772" s="44"/>
      <c r="AD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c r="AD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c r="AC774" s="44"/>
      <c r="AD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c r="AC775" s="44"/>
      <c r="AD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c r="AD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c r="AD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c r="AD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c r="AD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c r="AD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c r="AD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c r="AD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c r="AD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c r="AD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c r="AD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c r="AD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c r="AD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c r="AD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c r="AD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c r="AD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c r="AD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c r="AD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c r="AD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c r="AD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c r="AD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c r="AD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c r="AD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c r="AD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c r="AD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c r="AD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c r="AD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c r="AD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c r="AD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c r="AD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c r="AD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c r="AD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c r="AD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c r="AD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c r="AD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c r="AD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c r="AD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c r="AD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c r="AD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c r="AD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c r="AD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c r="AD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c r="AD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c r="AD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c r="AD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c r="AD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c r="AD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c r="AD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c r="AD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c r="AD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c r="AD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c r="AD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c r="AD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c r="AD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c r="AD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c r="AD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c r="AD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c r="AD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c r="AD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c r="AD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c r="AD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c r="AD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c r="AD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c r="AD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c r="AD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c r="AD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c r="AD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c r="AD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c r="AD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c r="AD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c r="AD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c r="AD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c r="AD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c r="AD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c r="AD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c r="AD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c r="AD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c r="AD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c r="AD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c r="AD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c r="AC921" s="44"/>
      <c r="AD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c r="AC922" s="44"/>
      <c r="AD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c r="AC923" s="44"/>
      <c r="AD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c r="AC924" s="44"/>
      <c r="AD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c r="AC925" s="44"/>
      <c r="AD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c r="AD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c r="AC927" s="44"/>
      <c r="AD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c r="AC928" s="44"/>
      <c r="AD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c r="AC929" s="44"/>
      <c r="AD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c r="AC930" s="44"/>
      <c r="AD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c r="AC931" s="44"/>
      <c r="AD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c r="AD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c r="AC933" s="44"/>
      <c r="AD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c r="AC934" s="44"/>
      <c r="AD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c r="AC935" s="44"/>
      <c r="AD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c r="AC936" s="44"/>
      <c r="AD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c r="AC937" s="44"/>
      <c r="AD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c r="AD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c r="AC939" s="44"/>
      <c r="AD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c r="AC940" s="44"/>
      <c r="AD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c r="AC941" s="44"/>
      <c r="AD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c r="AC942" s="44"/>
      <c r="AD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c r="AC943" s="44"/>
      <c r="AD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c r="AD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c r="AC945" s="44"/>
      <c r="AD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c r="AC946" s="44"/>
      <c r="AD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c r="AC947" s="44"/>
      <c r="AD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c r="AC948" s="44"/>
      <c r="AD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c r="AC949" s="44"/>
      <c r="AD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c r="AC950" s="44"/>
      <c r="AD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c r="AC951" s="44"/>
      <c r="AD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c r="AC952" s="44"/>
      <c r="AD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c r="AC953" s="44"/>
      <c r="AD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c r="AC954" s="44"/>
      <c r="AD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c r="AC955" s="44"/>
      <c r="AD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c r="AC956" s="44"/>
      <c r="AD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c r="AC957" s="44"/>
      <c r="AD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c r="AC958" s="44"/>
      <c r="AD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c r="AC959" s="44"/>
      <c r="AD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c r="AC960" s="44"/>
      <c r="AD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c r="AC961" s="44"/>
      <c r="AD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c r="AC962" s="44"/>
      <c r="AD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c r="AC963" s="44"/>
      <c r="AD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c r="AC964" s="44"/>
      <c r="AD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c r="AC965" s="44"/>
      <c r="AD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c r="AC966" s="44"/>
      <c r="AD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c r="AC967" s="44"/>
      <c r="AD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c r="AC968" s="44"/>
      <c r="AD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c r="AC969" s="44"/>
      <c r="AD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c r="AC970" s="44"/>
      <c r="AD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c r="AC971" s="44"/>
      <c r="AD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c r="AC972" s="44"/>
      <c r="AD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c r="AC973" s="44"/>
      <c r="AD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c r="AC974" s="44"/>
      <c r="AD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c r="AC975" s="44"/>
      <c r="AD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c r="AC976" s="44"/>
      <c r="AD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c r="AC977" s="44"/>
      <c r="AD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c r="AC978" s="44"/>
      <c r="AD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c r="AC979" s="44"/>
      <c r="AD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c r="AC980" s="44"/>
      <c r="AD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c r="AC981" s="44"/>
      <c r="AD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c r="AC982" s="44"/>
      <c r="AD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c r="AC983" s="44"/>
      <c r="AD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c r="AC984" s="44"/>
      <c r="AD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c r="AC985" s="44"/>
      <c r="AD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c r="AC986" s="44"/>
      <c r="AD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c r="AC987" s="44"/>
      <c r="AD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c r="AC988" s="44"/>
      <c r="AD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c r="AC989" s="44"/>
      <c r="AD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c r="AC990" s="44"/>
      <c r="AD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c r="AC991" s="44"/>
      <c r="AD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c r="AC992" s="44"/>
      <c r="AD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c r="AC993" s="44"/>
      <c r="AD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c r="AC994" s="44"/>
      <c r="AD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c r="AC995" s="44"/>
      <c r="AD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c r="AC996" s="44"/>
      <c r="AD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c r="AC997" s="44"/>
      <c r="AD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c r="AC998" s="44"/>
      <c r="AD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c r="AC999" s="44"/>
      <c r="AD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c r="AC1000" s="44"/>
      <c r="AD1000" s="44"/>
    </row>
  </sheetData>
  <dataValidations>
    <dataValidation type="list" allowBlank="1" sqref="C2:C12 C15:C20 C22:C28 C30:C40 C42:C51">
      <formula1>"EM,PSI,ETDR,FRG,FRD"</formula1>
    </dataValidation>
    <dataValidation type="list" allowBlank="1" sqref="K2:K12 K15:K20 K22:K51">
      <formula1>"Easy,Medium,Hard"</formula1>
    </dataValidation>
    <dataValidation type="list" allowBlank="1" sqref="U2:U12 U15:U20 U22:U51">
      <formula1>"A,B,C,D"</formula1>
    </dataValidation>
    <dataValidation type="list" allowBlank="1" sqref="O2:O12 O15:O20 O22:O51">
      <formula1>"Yes,No"</formula1>
    </dataValidation>
  </dataValidations>
  <hyperlinks>
    <hyperlink r:id="rId1" ref="AD13"/>
    <hyperlink r:id="rId2" ref="AD14"/>
    <hyperlink r:id="rId3" ref="AD21"/>
    <hyperlink r:id="rId4" ref="AD29"/>
    <hyperlink r:id="rId5" ref="AD41"/>
  </hyperlinks>
  <drawing r:id="rId6"/>
  <tableParts count="1">
    <tablePart r:id="rId8"/>
  </tableParts>
</worksheet>
</file>